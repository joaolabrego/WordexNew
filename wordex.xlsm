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0BD5BD12-D483-4665-A4CD-2CA8AC1C5F0D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4" i="4" l="1"/>
  <c r="G4" i="4"/>
  <c r="G3" i="4"/>
  <c r="G4" i="6" a="1"/>
  <c r="F3" i="2"/>
  <c r="G5" i="6" a="1"/>
  <c r="E3" i="4"/>
  <c r="F4" i="4"/>
  <c r="E3" i="2"/>
  <c r="D3" i="2" a="1"/>
  <c r="F3" i="4"/>
  <c r="G3" i="6" a="1"/>
  <c r="G3" i="6" l="1"/>
  <c r="D3" i="2"/>
  <c r="G5" i="6"/>
  <c r="G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<sst xmlns="http://schemas.openxmlformats.org/spreadsheetml/2006/main" count="67" uniqueCount="39">
  <si>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</si>
  <si>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</si>
  <si>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</si>
  <si>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</si>
  <si>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</si>
  <si>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</si>
  <si>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</si>
  <si>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</si>
  <si>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</si>
  <si>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</si>
  <si>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</si>
  <si>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</si>
  <si>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</si>
  <si>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</si>
  <si>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</si>
  <si>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</si>
  <si>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</si>
  <si>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</si>
  <si>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</si>
  <si>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</si>
  <si>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</si>
  <si>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</si>
  <si>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</si>
  <si>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</si>
  <si>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</si>
  <si>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</si>
  <si>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</si>
  <si>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</si>
  <si>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</si>
  <si>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</si>
  <si>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</si>
  <si>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</si>
  <si>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</si>
  <si>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</si>
  <si>
    <t>Produtos</t>
  </si>
  <si>
    <t>Tipos de dados</t>
  </si>
  <si>
    <t>image</t>
  </si>
  <si>
    <t>D:\C#\SGSI_CRUDEX\CRUDEX\StaticFiles\Assets\Images\evadin.png</t>
  </si>
  <si>
    <t>Logotipo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</si>
</sst>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3</xdr:col>
          <xdr:colOff>4419600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44FF24E-C659-CCBA-1C2E-966022A93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7"/>
  <sheetViews>
    <sheetView tabSelected="1" workbookViewId="0">
      <selection activeCell="D3" sqref="D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17.88671875" style="9" customWidth="1"/>
    <col min="4" max="4" width="81.5546875" style="9" bestFit="1" customWidth="1"/>
    <col min="5" max="5" width="41.6640625" style="9" bestFit="1" customWidth="1"/>
    <col min="6" max="6" width="45.109375" style="8" bestFit="1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38</v>
      </c>
      <c r="D1" s="7" t="s">
        <v>24</v>
      </c>
      <c r="E1" s="7" t="s">
        <v>26</v>
      </c>
      <c r="F1" s="6" t="s">
        <v>27</v>
      </c>
    </row>
    <row r="2" spans="1:6" s="6" customFormat="1" x14ac:dyDescent="0.3">
      <c r="A2" s="6" t="s">
        <v>28</v>
      </c>
      <c r="B2" s="6" t="s">
        <v>28</v>
      </c>
      <c r="C2" s="7" t="s">
        <v>36</v>
      </c>
      <c r="D2" s="7" t="s">
        <v>29</v>
      </c>
      <c r="E2" s="7" t="s">
        <v>31</v>
      </c>
      <c r="F2" s="6" t="s">
        <v>30</v>
      </c>
    </row>
    <row r="3" spans="1:6" ht="388.8" x14ac:dyDescent="0.3">
      <c r="A3" s="8" t="s">
        <v>3</v>
      </c>
      <c r="B3" s="8" t="s">
        <v>4</v>
      </c>
      <c r="C3" s="9" t="s">
        <v>37</v>
      </c>
      <c r="D3" s="5" t="str" cm="1">
        <f t="array" ref="D3"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"Items": [{"ProdutoId": {"Kind": "number", "Value": 1},"ClienteId": {"Kind": "number", "Value": 1},"CategoriaId": {"Kind": "number", "Value": 1},"Nome": {"Kind": "string", "Value": "Produto A"},"Preço": {"Kind": "string", "Value": "100,00"},"Quantidade": {"Kind": "string", "Value": "2"},"Categoria": {"Kind": "object", "Value": {"CategoriaId": {"Kind": "number", "Value": 1},"Nome": {"Kind": "string", "Value": "Eletrônico"}}}},{"ProdutoId": {"Kind": "number", "Value": 2},"ClienteId": {"Kind": "number", "Value": 1},"CategoriaId": {"Kind": "number", "Value": 2},"Nome": {"Kind": "string", "Value": "Produto B"},"Preço": {"Kind": "string", "Value": "50,00"},"Quantidade": {"Kind": "string", "Value": "1"},"Categoria": {"Kind": "object", "Value": {"CategoriaId": {"Kind": "number", "Value": 2},"Nome": {"Kind": "string", "Value": "Livros"}}}}]},"TotaisProdutos": {"Kind": "totals", "Items": [{"PreçoSum": {"Kind": "string", "Value": "150"},"QuantidadeSum": {"Kind": "string", "Value": "3"}}]},"TotaisProdutosGrafico": {"Kind": "graph", "Items": [{"PreçoSum": {"Kind": "string", "Value": "150"},"PreçoSum_Label": {"Kind": "string", "Value": "Preço"},"QuantidadeSum": {"Kind": "string", "Value": "3"},"QuantidadeSum_Label":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"Items": [{"ProdutoId": {"Kind": "number", "Value": 3},"ClienteId": {"Kind": "number", "Value": 2},"CategoriaId": {"Kind": "number", "Value": 3},"Nome": {"Kind": "string", "Value": "Produto C"},"Preço": {"Kind": "string", "Value": "200,00"},"Quantidade": {"Kind": "string", "Value": "3"},"Categoria": {"Kind": "object", "Value": {"CategoriaId": {"Kind": "number", "Value": 3},"Nome": {"Kind": "string", "Value": "Escritório"}}}}]},"TotaisProdutos": {"Kind": "totals", "Items": [{"PreçoSum": {"Kind": "string", "Value": "200"},"QuantidadeSum": {"Kind": "string", "Value": "3"}}]},"TotaisProdutosGrafico": {"Kind": "graph", "Items": [{"PreçoSum": {"Kind": "string", "Value": "200"},"PreçoSum_Label": {"Kind": "string", "Value": "Preço"},"QuantidadeSum": {"Kind": "string", "Value": "3"},"QuantidadeSum_Label": {"Kind": "string", "Value": "Quantidade"}}]}}]</v>
      </c>
      <c r="E3" s="9" t="str">
        <f>ObterRegistroTotal("Produtos", "", "Preço, Quantidade", "Sum")</f>
        <v>[{"PreçoSum": {"Kind": "string", "Value": "350"},"QuantidadeSum": {"Kind": "string", "Value": "6"}}]</v>
      </c>
      <c r="F3" s="9" t="str">
        <f>ObterGrafico("Produtos", "", "Preço, Quantidade", "Sum")</f>
        <v>[{"PreçoSum": {"Kind": "string", "Value": "350"},"PreçoSum_Label": {"Kind": "string", "Value": "Preço"},"QuantidadeSum": {"Kind": "string", "Value": "6"},"QuantidadeSum_Label": {"Kind": "string", "Value": "Quantidade"}}]</v>
      </c>
    </row>
    <row r="8" spans="1:6" ht="15" thickBot="1" x14ac:dyDescent="0.35"/>
    <row r="9" spans="1:6" ht="15" thickBot="1" x14ac:dyDescent="0.35">
      <c r="F9" s="15" t="s">
        <v>35</v>
      </c>
    </row>
    <row r="10" spans="1:6" x14ac:dyDescent="0.3">
      <c r="F10" s="13" t="s">
        <v>28</v>
      </c>
    </row>
    <row r="11" spans="1:6" x14ac:dyDescent="0.3">
      <c r="F11" s="13" t="s">
        <v>29</v>
      </c>
    </row>
    <row r="12" spans="1:6" x14ac:dyDescent="0.3">
      <c r="F12" s="13" t="s">
        <v>31</v>
      </c>
    </row>
    <row r="13" spans="1:6" x14ac:dyDescent="0.3">
      <c r="F13" s="13" t="s">
        <v>30</v>
      </c>
    </row>
    <row r="14" spans="1:6" x14ac:dyDescent="0.3">
      <c r="F14" s="13" t="s">
        <v>32</v>
      </c>
    </row>
    <row r="15" spans="1:6" x14ac:dyDescent="0.3">
      <c r="F15" s="13" t="s">
        <v>33</v>
      </c>
    </row>
    <row r="16" spans="1:6" ht="15" thickBot="1" x14ac:dyDescent="0.35">
      <c r="F16" s="14" t="s">
        <v>36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3</xdr:col>
                    <xdr:colOff>4419600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4"/>
  <sheetViews>
    <sheetView workbookViewId="0">
      <selection activeCell="E4" sqref="E4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4.77734375" style="9" customWidth="1"/>
    <col min="6" max="6" width="37.33203125" style="9" customWidth="1"/>
    <col min="7" max="7" width="41.55468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34</v>
      </c>
      <c r="F1" s="7" t="s">
        <v>25</v>
      </c>
      <c r="G1" s="7" t="s">
        <v>27</v>
      </c>
    </row>
    <row r="2" spans="1:7" s="6" customFormat="1" x14ac:dyDescent="0.3">
      <c r="A2" s="6" t="s">
        <v>32</v>
      </c>
      <c r="B2" s="6" t="s">
        <v>28</v>
      </c>
      <c r="C2" s="6" t="s">
        <v>28</v>
      </c>
      <c r="D2" s="6" t="s">
        <v>28</v>
      </c>
      <c r="E2" s="7" t="s">
        <v>29</v>
      </c>
      <c r="F2" s="7" t="s">
        <v>31</v>
      </c>
      <c r="G2" s="7" t="s">
        <v>30</v>
      </c>
    </row>
    <row r="3" spans="1:7" ht="129.6" x14ac:dyDescent="0.3">
      <c r="A3" s="8">
        <v>1</v>
      </c>
      <c r="B3" s="8" t="s">
        <v>7</v>
      </c>
      <c r="C3" s="8" t="s">
        <v>9</v>
      </c>
      <c r="D3" s="8" t="s">
        <v>11</v>
      </c>
      <c r="E3" s="9" t="str">
        <f>ObterRegistros("Produtos", "ClienteId", A3)</f>
        <v>[{"ProdutoId": {"Kind": "number", "Value": 1},"ClienteId": {"Kind": "number", "Value": 1},"CategoriaId": {"Kind": "number", "Value": 1},"Nome": {"Kind": "string", "Value": "Produto A"},"Preço": {"Kind": "string", "Value": "100,00"},"Quantidade": {"Kind": "string", "Value": "2"},"Categoria": {"Kind": "object", "Value": {"CategoriaId": {"Kind": "number", "Value": 1},"Nome": {"Kind": "string", "Value": "Eletrônico"}}}},{"ProdutoId": {"Kind": "number", "Value": 2},"ClienteId": {"Kind": "number", "Value": 1},"CategoriaId": {"Kind": "number", "Value": 2},"Nome": {"Kind": "string", "Value": "Produto B"},"Preço": {"Kind": "string", "Value": "50,00"},"Quantidade": {"Kind": "string", "Value": "1"},"Categoria": {"Kind": "object", "Value": {"CategoriaId": {"Kind": "number", "Value": 2},"Nome": {"Kind": "string", "Value": "Livros"}}}}]</v>
      </c>
      <c r="F3" s="9" t="str">
        <f>ObterRegistroTotal("Produtos", "", "Preço, Quantidade", "Sum", "ClienteId", A3)</f>
        <v>[{"PreçoSum": {"Kind": "string", "Value": "150"},"QuantidadeSum": {"Kind": "string", "Value": "3"}}]</v>
      </c>
      <c r="G3" s="9" t="str">
        <f>ObterGrafico("Produtos", "", "Preço, Quantidade", "Sum", "ClienteId", A3)</f>
        <v>[{"PreçoSum": {"Kind": "string", "Value": "150"},"PreçoSum_Label": {"Kind": "string", "Value": "Preço"},"QuantidadeSum": {"Kind": "string", "Value": "3"},"QuantidadeSum_Label": {"Kind": "string", "Value": "Quantidade"}}]</v>
      </c>
    </row>
    <row r="4" spans="1:7" ht="72" x14ac:dyDescent="0.3">
      <c r="A4" s="8">
        <v>2</v>
      </c>
      <c r="B4" s="8" t="s">
        <v>8</v>
      </c>
      <c r="C4" s="8" t="s">
        <v>10</v>
      </c>
      <c r="D4" s="8" t="s">
        <v>12</v>
      </c>
      <c r="E4" s="9" t="str">
        <f>ObterRegistros("Produtos", "ClienteId", A4)</f>
        <v>[{"ProdutoId": {"Kind": "number", "Value": 3},"ClienteId": {"Kind": "number", "Value": 2},"CategoriaId": {"Kind": "number", "Value": 3},"Nome": {"Kind": "string", "Value": "Produto C"},"Preço": {"Kind": "string", "Value": "200,00"},"Quantidade": {"Kind": "string", "Value": "3"},"Categoria": {"Kind": "object", "Value": {"CategoriaId": {"Kind": "number", "Value": 3},"Nome": {"Kind": "string", "Value": "Escritório"}}}}]</v>
      </c>
      <c r="F4" s="9" t="str">
        <f>ObterRegistroTotal("Produtos", "", "Preço, Quantidade", "Sum", "ClienteId", A4)</f>
        <v>[{"PreçoSum": {"Kind": "string", "Value": "200"},"QuantidadeSum": {"Kind": "string", "Value": "3"}}]</v>
      </c>
      <c r="G4" s="9" t="str">
        <f>ObterGrafico("Produtos", "", "Preço, Quantidade", "Sum", "ClienteId", A4)</f>
        <v>[{"PreçoSum": {"Kind": "string", "Value": "200"},"PreçoSum_Label": {"Kind": "string", "Value": "Preço"},"QuantidadeSum": {"Kind": "string", "Value": "3"},"QuantidadeSum_Label":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5"/>
  <sheetViews>
    <sheetView workbookViewId="0">
      <selection activeCell="G3" sqref="G3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23</v>
      </c>
    </row>
    <row r="2" spans="1:7" s="1" customFormat="1" x14ac:dyDescent="0.3">
      <c r="A2" s="1" t="s">
        <v>32</v>
      </c>
      <c r="B2" s="1" t="s">
        <v>32</v>
      </c>
      <c r="C2" s="1" t="s">
        <v>32</v>
      </c>
      <c r="D2" s="1" t="s">
        <v>28</v>
      </c>
      <c r="E2" s="2" t="s">
        <v>28</v>
      </c>
      <c r="F2" s="10" t="s">
        <v>28</v>
      </c>
      <c r="G2" s="4" t="s">
        <v>33</v>
      </c>
    </row>
    <row r="3" spans="1:7" ht="28.8" x14ac:dyDescent="0.3">
      <c r="A3">
        <v>1</v>
      </c>
      <c r="B3">
        <v>1</v>
      </c>
      <c r="C3">
        <v>1</v>
      </c>
      <c r="D3" t="s">
        <v>16</v>
      </c>
      <c r="E3" s="3">
        <v>100</v>
      </c>
      <c r="F3" s="11">
        <v>2</v>
      </c>
      <c r="G3" s="5" t="str" cm="1">
        <f t="array" ref="G3">ObterRegistro("Categorias","CategoriaId",C3)</f>
        <v>{"CategoriaId": {"Kind": "number", "Value": 1},"Nome": {"Kind": "string", "Value": "Eletrônico"}}</v>
      </c>
    </row>
    <row r="4" spans="1:7" ht="28.8" x14ac:dyDescent="0.3">
      <c r="A4">
        <v>2</v>
      </c>
      <c r="B4">
        <v>1</v>
      </c>
      <c r="C4">
        <v>2</v>
      </c>
      <c r="D4" t="s">
        <v>17</v>
      </c>
      <c r="E4" s="3">
        <v>50</v>
      </c>
      <c r="F4" s="11">
        <v>1</v>
      </c>
      <c r="G4" s="5" t="str" cm="1">
        <f t="array" ref="G4">ObterRegistro("Categorias","CategoriaId",C4)</f>
        <v>{"CategoriaId": {"Kind": "number", "Value": 2},"Nome": {"Kind": "string", "Value": "Livros"}}</v>
      </c>
    </row>
    <row r="5" spans="1:7" ht="28.8" x14ac:dyDescent="0.3">
      <c r="A5">
        <v>3</v>
      </c>
      <c r="B5">
        <v>2</v>
      </c>
      <c r="C5">
        <v>3</v>
      </c>
      <c r="D5" t="s">
        <v>18</v>
      </c>
      <c r="E5" s="3">
        <v>200</v>
      </c>
      <c r="F5" s="11">
        <v>3</v>
      </c>
      <c r="G5" s="5" t="str" cm="1">
        <f t="array" ref="G5">ObterRegistro("Categorias","CategoriaId",C5)</f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2026-06-12T02:39:26Z</dcterms:modified>
</cp:coreProperties>
</file>