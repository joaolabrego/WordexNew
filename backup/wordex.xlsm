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New\"/>
    </mc:Choice>
  </mc:AlternateContent>
  <xr:revisionPtr revIDLastSave="0" documentId="13_ncr:1_{376AF774-F068-40B3-B92D-8585A551C7C6}" xr6:coauthVersionLast="47" xr6:coauthVersionMax="47" xr10:uidLastSave="{00000000-0000-0000-0000-000000000000}"/>
  <bookViews>
    <workbookView xWindow="-108" yWindow="-108" windowWidth="23256" windowHeight="13176" activeTab="1" xr2:uid="{CF45524C-4F79-4E14-85FA-55B971EE0993}"/>
  </bookViews>
  <sheets>
    <sheet name="ROOT" sheetId="2" r:id="rId1"/>
    <sheet name="Planilha1" sheetId="11" r:id="rId2"/>
    <sheet name="Clientes" sheetId="4" r:id="rId3"/>
    <sheet name="Produtos" sheetId="6" r:id="rId4"/>
    <sheet name="Categorias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3" i="4" l="1" a="1"/>
  <c r="G2" i="4" a="1"/>
  <c r="D2" i="2" a="1"/>
  <c r="F2" i="4" a="1"/>
  <c r="E3" i="4" a="1"/>
  <c r="E2" i="4" a="1"/>
  <c r="F3" i="4" a="1"/>
  <c r="G3" i="6" a="1"/>
  <c r="G2" i="6" a="1"/>
  <c r="G4" i="6" a="1"/>
  <c r="C2" i="2" a="1"/>
  <c r="E2" i="2" a="1"/>
  <c r="G3" i="4" l="1"/>
  <c r="G2" i="4"/>
  <c r="E2" i="2"/>
  <c r="C2" i="2"/>
  <c r="G4" i="6"/>
  <c r="G2" i="6"/>
  <c r="G3" i="6"/>
  <c r="F3" i="4"/>
  <c r="E2" i="4"/>
  <c r="E3" i="4"/>
  <c r="F2" i="4"/>
  <c r="D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<sst xmlns="http://schemas.openxmlformats.org/spreadsheetml/2006/main" count="47" uniqueCount="41">
  <si>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</si>
  <si>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</si>
  <si>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</si>
  <si>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</si>
  <si>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</si>
  <si>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</si>
  <si>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</si>
  <si>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</si>
  <si>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</si>
  <si>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</si>
  <si>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</si>
  <si>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</si>
  <si>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</si>
  <si>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</si>
  <si>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</si>
  <si>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</si>
  <si>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</si>
  <si>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</si>
  <si>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</si>
  <si>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</si>
  <si>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</si>
  <si>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</si>
  <si>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</si>
  <si>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</si>
  <si>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</si>
  <si>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</si>
  <si>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TotaisProdutos</t>
  </si>
  <si>
    <t>TotaisProdutosGerais</t>
  </si>
  <si>
    <t>TotaisProdutosGrafico</t>
  </si>
  <si>
    <t>LogoTipo</t>
  </si>
  <si>
    <t>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</t>
  </si>
  <si>
    <t>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</t>
  </si>
  <si>
    <t>https://deaautomacao.com.br/wp-content/uploads/2018/09/evadin.png</t>
  </si>
  <si>
    <t>GraficoProdutos</t>
  </si>
  <si>
    <t>Cliente</t>
  </si>
  <si>
    <t>Evadin</t>
  </si>
  <si>
    <t>Total</t>
  </si>
  <si>
    <t>Bradesco</t>
  </si>
  <si>
    <t>Daycoval</t>
  </si>
  <si>
    <t>Totalzinho</t>
  </si>
  <si>
    <t>Totalzão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</si>
</sst>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  <xf numFmtId="0" fontId="4" fillId="0" borderId="0" xfId="1" applyAlignment="1">
      <alignment vertical="center" wrapText="1"/>
    </xf>
    <xf numFmtId="0" fontId="4" fillId="0" borderId="0" xfId="1" applyAlignment="1">
      <alignment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Planilha1!$A$2:$A$4</c:f>
              <c:strCache>
                <c:ptCount val="3"/>
                <c:pt idx="0">
                  <c:v>Evadin</c:v>
                </c:pt>
                <c:pt idx="1">
                  <c:v>Bradesco</c:v>
                </c:pt>
                <c:pt idx="2">
                  <c:v>Daycoval</c:v>
                </c:pt>
              </c:strCache>
            </c:strRef>
          </c:cat>
          <c:val>
            <c:numRef>
              <c:f>Planilha1!$B$2:$B$4</c:f>
              <c:numCache>
                <c:formatCode>#,##0.00</c:formatCode>
                <c:ptCount val="3"/>
                <c:pt idx="0">
                  <c:v>1000</c:v>
                </c:pt>
                <c:pt idx="1">
                  <c:v>10000</c:v>
                </c:pt>
                <c:pt idx="2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B3-4957-B69A-B07277B73F87}"/>
            </c:ext>
          </c:extLst>
        </c:ser>
        <c:ser>
          <c:idx val="1"/>
          <c:order val="1"/>
          <c:tx>
            <c:strRef>
              <c:f>Planilha1!$C$1</c:f>
              <c:strCache>
                <c:ptCount val="1"/>
                <c:pt idx="0">
                  <c:v>Totalzinho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Planilha1!$A$2:$A$4</c:f>
              <c:strCache>
                <c:ptCount val="3"/>
                <c:pt idx="0">
                  <c:v>Evadin</c:v>
                </c:pt>
                <c:pt idx="1">
                  <c:v>Bradesco</c:v>
                </c:pt>
                <c:pt idx="2">
                  <c:v>Daycoval</c:v>
                </c:pt>
              </c:strCache>
            </c:strRef>
          </c:cat>
          <c:val>
            <c:numRef>
              <c:f>Planilha1!$C$2:$C$4</c:f>
              <c:numCache>
                <c:formatCode>#,##0.00</c:formatCode>
                <c:ptCount val="3"/>
                <c:pt idx="0">
                  <c:v>546</c:v>
                </c:pt>
                <c:pt idx="1">
                  <c:v>3322</c:v>
                </c:pt>
                <c:pt idx="2">
                  <c:v>3232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B3-4957-B69A-B07277B73F87}"/>
            </c:ext>
          </c:extLst>
        </c:ser>
        <c:ser>
          <c:idx val="2"/>
          <c:order val="2"/>
          <c:tx>
            <c:strRef>
              <c:f>Planilha1!$D$1</c:f>
              <c:strCache>
                <c:ptCount val="1"/>
                <c:pt idx="0">
                  <c:v>Totalzão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Planilha1!$A$2:$A$4</c:f>
              <c:strCache>
                <c:ptCount val="3"/>
                <c:pt idx="0">
                  <c:v>Evadin</c:v>
                </c:pt>
                <c:pt idx="1">
                  <c:v>Bradesco</c:v>
                </c:pt>
                <c:pt idx="2">
                  <c:v>Daycoval</c:v>
                </c:pt>
              </c:strCache>
            </c:strRef>
          </c:cat>
          <c:val>
            <c:numRef>
              <c:f>Planilha1!$D$2:$D$4</c:f>
              <c:numCache>
                <c:formatCode>#,##0.00</c:formatCode>
                <c:ptCount val="3"/>
                <c:pt idx="0">
                  <c:v>343</c:v>
                </c:pt>
                <c:pt idx="1">
                  <c:v>4343</c:v>
                </c:pt>
                <c:pt idx="2">
                  <c:v>4343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B3-4957-B69A-B07277B73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3984496"/>
        <c:axId val="1603980176"/>
      </c:barChart>
      <c:catAx>
        <c:axId val="160398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3980176"/>
        <c:crosses val="autoZero"/>
        <c:auto val="1"/>
        <c:lblAlgn val="ctr"/>
        <c:lblOffset val="100"/>
        <c:noMultiLvlLbl val="0"/>
      </c:catAx>
      <c:valAx>
        <c:axId val="160398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398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937260</xdr:colOff>
          <xdr:row>2</xdr:row>
          <xdr:rowOff>99060</xdr:rowOff>
        </xdr:from>
        <xdr:to>
          <xdr:col>2</xdr:col>
          <xdr:colOff>2316480</xdr:colOff>
          <xdr:row>5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2918460</xdr:colOff>
          <xdr:row>2</xdr:row>
          <xdr:rowOff>99060</xdr:rowOff>
        </xdr:from>
        <xdr:to>
          <xdr:col>2</xdr:col>
          <xdr:colOff>4137660</xdr:colOff>
          <xdr:row>5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7</xdr:row>
      <xdr:rowOff>83820</xdr:rowOff>
    </xdr:from>
    <xdr:to>
      <xdr:col>15</xdr:col>
      <xdr:colOff>228600</xdr:colOff>
      <xdr:row>22</xdr:row>
      <xdr:rowOff>83820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9F91DB-2463-E5AE-3231-D0E9DF2D7D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aautomacao.com.br/wp-content/uploads/2018/09/evadin.png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" TargetMode="External"/><Relationship Id="rId1" Type="http://schemas.openxmlformats.org/officeDocument/2006/relationships/hyperlink" Target="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F16"/>
  <sheetViews>
    <sheetView topLeftCell="A2" workbookViewId="0">
      <selection activeCell="C13" sqref="C13"/>
    </sheetView>
  </sheetViews>
  <sheetFormatPr defaultColWidth="8.88671875" defaultRowHeight="14.4" x14ac:dyDescent="0.3"/>
  <cols>
    <col min="1" max="1" width="9.33203125" style="8" bestFit="1" customWidth="1"/>
    <col min="2" max="2" width="17.6640625" style="8" bestFit="1" customWidth="1"/>
    <col min="3" max="3" width="81.88671875" style="9" bestFit="1" customWidth="1"/>
    <col min="4" max="4" width="44.6640625" style="8" bestFit="1" customWidth="1"/>
    <col min="5" max="5" width="46.6640625" style="8" customWidth="1"/>
    <col min="6" max="6" width="67" style="8" customWidth="1"/>
    <col min="7" max="16384" width="8.88671875" style="8"/>
  </cols>
  <sheetData>
    <row r="1" spans="1:6" s="6" customFormat="1" x14ac:dyDescent="0.3">
      <c r="A1" s="6" t="s">
        <v>1</v>
      </c>
      <c r="B1" s="6" t="s">
        <v>2</v>
      </c>
      <c r="C1" s="7" t="s">
        <v>25</v>
      </c>
      <c r="D1" s="6" t="s">
        <v>27</v>
      </c>
      <c r="E1" s="6" t="s">
        <v>28</v>
      </c>
      <c r="F1" s="6" t="s">
        <v>29</v>
      </c>
    </row>
    <row r="2" spans="1:6" ht="345.6" x14ac:dyDescent="0.3">
      <c r="A2" s="8" t="s">
        <v>3</v>
      </c>
      <c r="B2" s="8" t="s">
        <v>4</v>
      </c>
      <c r="C2" s="9" t="str" cm="1">
        <f t="array" ref="C2">ObterRegistros("Clientes")</f>
        <v>[{"ClienteId": "1","Nome": "João Silva","Email": "joaosilva@gmail.com","Telefone": "(11) 98765-4321","Produtos": 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"Livros"}}],"TotaisProdutos": [{"Erro": "Subscrito fora do intervalo"}],"GraficoProdutos": {"ChartTitle":"VARIAÇÃO DE PREÇOS","ItemTitle":"Preço","Items":[{"title":"100,00","value":150,"label":"150.00"}]},"LogoTipo": "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"},{"ClienteId": "2","Nome": "Maria Oliveira","Email": "mariaoliveira@gmail.com","Telefone": "(21) 91234-5678","Produtos": [{"ProdutoId": "3","ClienteId": "2","CategoriaId": "3","Nome": "Produto C","Preço": "200,00","Quantidade": "3","Categoria": {"CategoriaId": "3","Nome": "Escritório"}}],"TotaisProdutos": [{"Erro": "Subscrito fora do intervalo"}],"GraficoProdutos": {"ChartTitle":"VARIAÇÃO DE PREÇOS","ItemTitle":"Preço","Items":[{"title":"200,00","value":200,"label":"200.00"}]},"LogoTipo": "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"}]</v>
      </c>
      <c r="D2" s="9" t="str" cm="1">
        <f t="array" ref="D2">ObterRegistro("TotaisProdutosGerais")</f>
        <v>{"Erro": "Subscrito fora do intervalo"}</v>
      </c>
      <c r="E2" s="9" t="str" cm="1">
        <f t="array" ref="E2">ObterRegistro("TotaisProdutosGrafico")</f>
        <v>{"Erro": "Subscrito fora do intervalo"}</v>
      </c>
      <c r="F2" s="14" t="s">
        <v>32</v>
      </c>
    </row>
    <row r="16" spans="1:6" ht="25.8" x14ac:dyDescent="0.3">
      <c r="A16" s="12"/>
    </row>
  </sheetData>
  <hyperlinks>
    <hyperlink ref="F2" r:id="rId1" xr:uid="{AD8F4B97-BCD0-471D-91E3-6308D92CD93F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rarJson">
                <anchor moveWithCells="1" sizeWithCells="1">
                  <from>
                    <xdr:col>2</xdr:col>
                    <xdr:colOff>937260</xdr:colOff>
                    <xdr:row>2</xdr:row>
                    <xdr:rowOff>99060</xdr:rowOff>
                  </from>
                  <to>
                    <xdr:col>2</xdr:col>
                    <xdr:colOff>2316480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2918460</xdr:colOff>
                    <xdr:row>2</xdr:row>
                    <xdr:rowOff>99060</xdr:rowOff>
                  </from>
                  <to>
                    <xdr:col>2</xdr:col>
                    <xdr:colOff>4137660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27F7-74A1-4E9F-A45F-19E72E00E0A1}">
  <dimension ref="A1:D4"/>
  <sheetViews>
    <sheetView tabSelected="1" workbookViewId="0">
      <selection activeCell="H9" sqref="H9"/>
    </sheetView>
  </sheetViews>
  <sheetFormatPr defaultRowHeight="14.4" x14ac:dyDescent="0.3"/>
  <cols>
    <col min="2" max="2" width="9.109375" style="3" bestFit="1" customWidth="1"/>
    <col min="3" max="4" width="9" style="3" bestFit="1" customWidth="1"/>
  </cols>
  <sheetData>
    <row r="1" spans="1:4" x14ac:dyDescent="0.3">
      <c r="A1" t="s">
        <v>34</v>
      </c>
      <c r="B1" s="3" t="s">
        <v>36</v>
      </c>
      <c r="C1" s="3" t="s">
        <v>39</v>
      </c>
      <c r="D1" s="3" t="s">
        <v>40</v>
      </c>
    </row>
    <row r="2" spans="1:4" x14ac:dyDescent="0.3">
      <c r="A2" t="s">
        <v>35</v>
      </c>
      <c r="B2" s="3">
        <v>1000</v>
      </c>
      <c r="C2" s="3">
        <v>546</v>
      </c>
      <c r="D2" s="3">
        <v>343</v>
      </c>
    </row>
    <row r="3" spans="1:4" x14ac:dyDescent="0.3">
      <c r="A3" t="s">
        <v>37</v>
      </c>
      <c r="B3" s="3">
        <v>10000</v>
      </c>
      <c r="C3" s="3">
        <v>3322</v>
      </c>
      <c r="D3" s="3">
        <v>4343</v>
      </c>
    </row>
    <row r="4" spans="1:4" x14ac:dyDescent="0.3">
      <c r="A4" t="s">
        <v>38</v>
      </c>
      <c r="B4" s="3">
        <v>5000</v>
      </c>
      <c r="C4" s="3">
        <v>3232</v>
      </c>
      <c r="D4" s="3">
        <v>4343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H3"/>
  <sheetViews>
    <sheetView workbookViewId="0">
      <selection activeCell="G7" sqref="G7"/>
    </sheetView>
  </sheetViews>
  <sheetFormatPr defaultColWidth="8.88671875"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33203125" style="8" bestFit="1" customWidth="1"/>
    <col min="5" max="5" width="78" style="9" bestFit="1" customWidth="1"/>
    <col min="6" max="6" width="42.5546875" style="8" bestFit="1" customWidth="1"/>
    <col min="7" max="7" width="42.5546875" style="8" customWidth="1"/>
    <col min="8" max="8" width="255.77734375" style="9" customWidth="1"/>
    <col min="9" max="16384" width="8.88671875" style="8"/>
  </cols>
  <sheetData>
    <row r="1" spans="1:8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  <c r="F1" s="6" t="s">
        <v>26</v>
      </c>
      <c r="G1" s="6" t="s">
        <v>33</v>
      </c>
      <c r="H1" s="7" t="s">
        <v>29</v>
      </c>
    </row>
    <row r="2" spans="1:8" ht="57.6" x14ac:dyDescent="0.3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</v>
      </c>
      <c r="F2" s="9" t="str" cm="1">
        <f t="array" ref="F2">ObterRegistros("TotaisProdutos")</f>
        <v>[{"Erro": "Subscrito fora do intervalo"}]</v>
      </c>
      <c r="G2" s="9" t="str" cm="1">
        <f t="array" ref="G2">ObterGrafico("Produtos","ClienteId","Preço","sum","VARIAÇÃO DE PREÇOS","Preço","ClienteId",A2)</f>
        <v>{"ChartTitle":"VARIAÇÃO DE PREÇOS","ItemTitle":"Preço","Items":[{"title":"100,00","value":150,"label":"150.00"}]}</v>
      </c>
      <c r="H2" s="13" t="s">
        <v>30</v>
      </c>
    </row>
    <row r="3" spans="1:8" ht="43.2" x14ac:dyDescent="0.3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"3","ClienteId": "2","CategoriaId": "3","Nome": "Produto C","Preço": "200,00","Quantidade": "3","Categoria": {"CategoriaId": "3","Nome": "Escritório"}}]</v>
      </c>
      <c r="F3" s="9" t="str" cm="1">
        <f t="array" ref="F3">ObterRegistros("TotaisProdutos")</f>
        <v>[{"Erro": "Subscrito fora do intervalo"}]</v>
      </c>
      <c r="G3" s="9" t="str" cm="1">
        <f t="array" ref="G3">ObterGrafico("Produtos","ClienteId","Preço","sum","VARIAÇÃO DE PREÇOS","Preço","ClienteId",A3)</f>
        <v>{"ChartTitle":"VARIAÇÃO DE PREÇOS","ItemTitle":"Preço","Items":[{"title":"200,00","value":200,"label":"200.00"}]}</v>
      </c>
      <c r="H3" s="13" t="s">
        <v>31</v>
      </c>
    </row>
  </sheetData>
  <hyperlinks>
    <hyperlink ref="H3" r:id="rId1" display="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" xr:uid="{91FACAC5-8A57-4D80-BC96-30156969C2DE}"/>
    <hyperlink ref="H2" r:id="rId2" display="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" xr:uid="{E68E2E96-0208-4744-AB01-8B575EB46710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activeCell="G2" sqref="G2"/>
    </sheetView>
  </sheetViews>
  <sheetFormatPr defaultRowHeight="14.4" x14ac:dyDescent="0.3"/>
  <cols>
    <col min="1" max="1" width="9.3320312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6.5546875" style="3" bestFit="1" customWidth="1"/>
    <col min="6" max="6" width="10.6640625" style="11" bestFit="1" customWidth="1"/>
    <col min="7" max="7" width="54.44140625" style="5" bestFit="1" customWidth="1"/>
  </cols>
  <sheetData>
    <row r="1" spans="1:7" s="1" customFormat="1" x14ac:dyDescent="0.3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0" t="s">
        <v>14</v>
      </c>
      <c r="G1" s="4" t="s">
        <v>24</v>
      </c>
    </row>
    <row r="2" spans="1:7" x14ac:dyDescent="0.3">
      <c r="A2">
        <v>1</v>
      </c>
      <c r="B2">
        <v>1</v>
      </c>
      <c r="C2">
        <v>1</v>
      </c>
      <c r="D2" t="s">
        <v>16</v>
      </c>
      <c r="E2" s="3">
        <v>100</v>
      </c>
      <c r="F2" s="11">
        <v>2</v>
      </c>
      <c r="G2" s="5" t="str" cm="1">
        <f t="array" ref="G2">ObterRegistro("Categorias","CategoriaId",C2)</f>
        <v>{"CategoriaId": "1","Nome": "Eletrônico"}</v>
      </c>
    </row>
    <row r="3" spans="1:7" x14ac:dyDescent="0.3">
      <c r="A3">
        <v>2</v>
      </c>
      <c r="B3">
        <v>1</v>
      </c>
      <c r="C3">
        <v>2</v>
      </c>
      <c r="D3" t="s">
        <v>17</v>
      </c>
      <c r="E3" s="3">
        <v>50</v>
      </c>
      <c r="F3" s="11">
        <v>1</v>
      </c>
      <c r="G3" s="5" t="str" cm="1">
        <f t="array" ref="G3">ObterRegistro("Categorias","CategoriaId",C3)</f>
        <v>{"CategoriaId": "2","Nome": "Livros"}</v>
      </c>
    </row>
    <row r="4" spans="1:7" x14ac:dyDescent="0.3">
      <c r="A4">
        <v>3</v>
      </c>
      <c r="B4">
        <v>2</v>
      </c>
      <c r="C4">
        <v>3</v>
      </c>
      <c r="D4" t="s">
        <v>18</v>
      </c>
      <c r="E4" s="3">
        <v>200</v>
      </c>
      <c r="F4" s="11">
        <v>3</v>
      </c>
      <c r="G4" s="5" t="str" cm="1">
        <f t="array" ref="G4">ObterRegistro("Categorias","CategoriaId",C4)</f>
        <v>{"CategoriaId": "3","Nome": "Escritório"}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C28" sqref="C28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ROOT</vt:lpstr>
      <vt:lpstr>Planilha1</vt:lpstr>
      <vt:lpstr>Clientes</vt:lpstr>
      <vt:lpstr>Produtos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2026-06-06T03:54:22Z</dcterms:modified>
</cp:coreProperties>
</file>