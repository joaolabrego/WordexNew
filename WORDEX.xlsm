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E3B66B82-678F-4330-BF45-2011D17F9E5B}" xr6:coauthVersionLast="47" xr6:coauthVersionMax="47" xr10:uidLastSave="{00000000-0000-0000-0000-000000000000}"/>
  <bookViews>
    <workbookView xWindow="-108" yWindow="-108" windowWidth="23256" windowHeight="13176" activeTab="5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rafico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" i="4" l="1" a="1"/>
  <c r="G2" i="4" a="1"/>
  <c r="D2" i="2" a="1"/>
  <c r="E3" i="4" a="1"/>
  <c r="G2" i="6" a="1"/>
  <c r="G4" i="6" a="1"/>
  <c r="C2" i="2" a="1"/>
  <c r="E2" i="2" a="1"/>
  <c r="F2" i="4" a="1"/>
  <c r="E2" i="4" a="1"/>
  <c r="F3" i="4" a="1"/>
  <c r="G3" i="6" a="1"/>
  <c r="G3" i="6" l="1"/>
  <c r="F3" i="4"/>
  <c r="E2" i="4"/>
  <c r="F2" i="4"/>
  <c r="E2" i="2"/>
  <c r="C2" i="2"/>
  <c r="G4" i="6"/>
  <c r="G2" i="6"/>
  <c r="E3" i="4"/>
  <c r="D2" i="2"/>
  <c r="G2" i="4"/>
  <c r="G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<sst xmlns="http://schemas.openxmlformats.org/spreadsheetml/2006/main" count="54" uniqueCount="40">
  <si>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</si>
  <si>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</si>
  <si>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</si>
  <si>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</si>
  <si>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</si>
  <si>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</si>
  <si>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</si>
  <si>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</si>
  <si>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</si>
  <si>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</si>
  <si>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</si>
  <si>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</si>
  <si>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</si>
  <si>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</si>
  <si>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</si>
  <si>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</si>
  <si>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</si>
  <si>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</si>
  <si>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</si>
  <si>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</si>
  <si>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</si>
  <si>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</si>
  <si>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</si>
  <si>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</si>
  <si>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</si>
  <si>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</si>
  <si>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TotaisProdutos</t>
  </si>
  <si>
    <t>TotaisProdutosGerais</t>
  </si>
  <si>
    <t>TotaisProdutosGrafico</t>
  </si>
  <si>
    <t>LogoTipo</t>
  </si>
  <si>
    <t>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</t>
  </si>
  <si>
    <t>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</t>
  </si>
  <si>
    <t>https://deaautomacao.com.br/wp-content/uploads/2018/09/evadin.png</t>
  </si>
  <si>
    <t>GraficoProdutos</t>
  </si>
  <si>
    <t>PreçoSum</t>
  </si>
  <si>
    <t>QuantidadeSum</t>
  </si>
  <si>
    <t>PreçoSum_Value</t>
  </si>
  <si>
    <t>PreçoSum_Label</t>
  </si>
  <si>
    <t>QuantidadeSum_Value</t>
  </si>
  <si>
    <t>QuantidadeSum_Label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</si>
</sst>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4" fillId="0" borderId="0" xfId="1" applyAlignment="1">
      <alignment vertical="center" wrapText="1"/>
    </xf>
    <xf numFmtId="0" fontId="4" fillId="0" borderId="0" xfId="1" applyAlignment="1">
      <alignment vertical="center"/>
    </xf>
    <xf numFmtId="0" fontId="0" fillId="0" borderId="0" xfId="0" applyNumberFormat="1" applyFont="1" applyAlignment="1"/>
    <xf numFmtId="4" fontId="0" fillId="0" borderId="0" xfId="0" applyNumberFormat="1" applyFont="1" applyAlignment="1"/>
    <xf numFmtId="3" fontId="0" fillId="0" borderId="0" xfId="0" applyNumberFormat="1" applyFont="1" applyAlignment="1"/>
    <xf numFmtId="0" fontId="1" fillId="0" borderId="0" xfId="0" applyNumberFormat="1" applyFont="1" applyAlignment="1"/>
    <xf numFmtId="4" fontId="1" fillId="0" borderId="0" xfId="0" applyNumberFormat="1" applyFont="1" applyAlignment="1"/>
    <xf numFmtId="3" fontId="1" fillId="0" borderId="0" xfId="0" applyNumberFormat="1" applyFont="1" applyAlignment="1"/>
    <xf numFmtId="0" fontId="1" fillId="0" borderId="0" xfId="0" applyFont="1"/>
    <xf numFmtId="0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0" fontId="1" fillId="0" borderId="0" xfId="0" applyNumberFormat="1" applyFont="1" applyAlignment="1">
      <alignment horizontal="right" vertical="center"/>
    </xf>
    <xf numFmtId="49" fontId="1" fillId="0" borderId="0" xfId="0" applyNumberFormat="1" applyFont="1" applyAlignment="1">
      <alignment horizontal="left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99060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99060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aautomacao.com.br/wp-content/uploads/2018/09/evadin.pn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TargetMode="External"/><Relationship Id="rId1" Type="http://schemas.openxmlformats.org/officeDocument/2006/relationships/hyperlink" Target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6"/>
  <sheetViews>
    <sheetView topLeftCell="A2" workbookViewId="0">
      <selection activeCell="C13" sqref="C13"/>
    </sheetView>
  </sheetViews>
  <sheetFormatPr defaultColWidth="8.88671875"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6640625" style="8" customWidth="1"/>
    <col min="6" max="6" width="67" style="8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25</v>
      </c>
      <c r="D1" s="6" t="s">
        <v>27</v>
      </c>
      <c r="E1" s="6" t="s">
        <v>28</v>
      </c>
      <c r="F1" s="6" t="s">
        <v>29</v>
      </c>
    </row>
    <row r="2" spans="1:6" ht="409.6" x14ac:dyDescent="0.3">
      <c r="A2" s="8" t="s">
        <v>3</v>
      </c>
      <c r="B2" s="8" t="s">
        <v>4</v>
      </c>
      <c r="C2" s="9" t="str" cm="1">
        <f t="array" ref="C2">ObterRegistros("Clientes")</f>
        <v>[{"ClienteId": {"Kind": "number", "Value": 1},"Nome": {"Kind": "text", "Value": "João Silva"},"Email": {"Kind": "text", "Value": "joaosilva@gmail.com"},"Telefone": {"Kind": "text", "Value": "(11) 98765-4321"},"Produtos":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[{"Erro": "Subscrito fora do intervalo"}],"GraficoProdutos": {"ChartTitle":"VARIAÇÃO DE PREÇOS","ItemTitle":"Preço","Items":[{"title":"100,00","value":150,"label":"150.00"}]},"LogoTipo": {"Kind": "image", "Value": 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}},{"ClienteId": {"Kind": "number", "Value": 2},"Nome": {"Kind": "text", "Value": "Maria Oliveira"},"Email": {"Kind": "text", "Value": "mariaoliveira@gmail.com"},"Telefone": {"Kind": "text", "Value": "(21) 91234-5678"},"Produtos": [{"ProdutoId": {"Kind": "number", "Value": 3},"ClienteId": {"Kind": "number", "Value": 2},"CategoriaId": {"Kind": "number", "Value": 3},"Nome": {"Kind": "text", "Value": "Produto C"},"Preço": {"Kind": "number", "Value": 200},"Quantidade": {"Kind": "number", "Value": 3},"Categoria": {"CategoriaId": "3","Nome": "Escritório"}}],"TotaisProdutos": [{"Erro": "Subscrito fora do intervalo"}],"GraficoProdutos": {"ChartTitle":"VARIAÇÃO DE PREÇOS","ItemTitle":"Preço","Items":[{"title":"200,00","value":200,"label":"200.00"}]},"LogoTipo": {"Kind": "image", "Value": 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}}]</v>
      </c>
      <c r="D2" s="9" t="str" cm="1">
        <f t="array" ref="D2">ObterRegistro("TotaisProdutosGerais")</f>
        <v>{"Erro": "Subscrito fora do intervalo"}</v>
      </c>
      <c r="E2" s="9" t="str" cm="1">
        <f t="array" ref="E2">ObterRegistro("TotaisProdutosGrafico")</f>
        <v>{"Erro": "Subscrito fora do intervalo"}</v>
      </c>
      <c r="F2" s="14" t="s">
        <v>32</v>
      </c>
    </row>
    <row r="16" spans="1:6" ht="25.8" x14ac:dyDescent="0.3">
      <c r="A16" s="12"/>
    </row>
  </sheetData>
  <hyperlinks>
    <hyperlink ref="F2" r:id="rId1" xr:uid="{AD8F4B97-BCD0-471D-91E3-6308D92CD93F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99060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99060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3"/>
  <sheetViews>
    <sheetView workbookViewId="0">
      <selection activeCell="G7" sqref="G7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42.5546875" style="8" bestFit="1" customWidth="1"/>
    <col min="7" max="7" width="42.5546875" style="8" customWidth="1"/>
    <col min="8" max="8" width="255.77734375" style="9" customWidth="1"/>
    <col min="9" max="16384" width="8.88671875" style="8"/>
  </cols>
  <sheetData>
    <row r="1" spans="1:8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26</v>
      </c>
      <c r="G1" s="6" t="s">
        <v>33</v>
      </c>
      <c r="H1" s="7" t="s">
        <v>29</v>
      </c>
    </row>
    <row r="2" spans="1:8" ht="115.2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{"Kind": "number", "Value": 1},"ClienteId": {"Kind": "number", "Value": 1},"CategoriaId": {"Kind": "number", "Value": 1},"Nome": {"Kind": "text", "Value": "Produto A"},"Preço": {"Kind": "number", "Value": 100},"Quantidade": {"Kind": "number", "Value": 2},"Categoria": {"CategoriaId": {"Kind": "number", "Value": 1},"Nome": {"Kind": "text", "Value": "Eletrônico"}}},{"ProdutoId": {"Kind": "number", "Value": 2},"ClienteId": {"Kind": "number", "Value": 1},"CategoriaId": {"Kind": "number", "Value": 2},"Nome": {"Kind": "text", "Value": "Produto B"},"Preço": {"Kind": "number", "Value": 50},"Quantidade": {"Kind": "number", "Value": 1},"Categoria": {"CategoriaId": "2","Nome": "Livros"}}]</v>
      </c>
      <c r="F2" s="9" t="str" cm="1">
        <f t="array" ref="F2">ObterRegistros("TotaisProdutos")</f>
        <v>[{"Erro": "Subscrito fora do intervalo"}]</v>
      </c>
      <c r="G2" s="9" t="str" cm="1">
        <f t="array" ref="G2">ObterGrafico("Produtos","ClienteId","Preço","sum","VARIAÇÃO DE PREÇOS","Preço","ClienteId",A2)</f>
        <v>{"ChartTitle":"VARIAÇÃO DE PREÇOS","ItemTitle":"Preço","Items":[{"title":"100,00","value":150,"label":"150.00"}]}</v>
      </c>
      <c r="H2" s="13" t="s">
        <v>30</v>
      </c>
    </row>
    <row r="3" spans="1:8" ht="57.6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{"Kind": "number", "Value": 3},"ClienteId": {"Kind": "number", "Value": 2},"CategoriaId": {"Kind": "number", "Value": 3},"Nome": {"Kind": "text", "Value": "Produto C"},"Preço": {"Kind": "number", "Value": 200},"Quantidade": {"Kind": "number", "Value": 3},"Categoria": {"CategoriaId": "3","Nome": "Escritório"}}]</v>
      </c>
      <c r="F3" s="9" t="str" cm="1">
        <f t="array" ref="F3">ObterRegistros("TotaisProdutos")</f>
        <v>[{"Erro": "Subscrito fora do intervalo"}]</v>
      </c>
      <c r="G3" s="9" t="str" cm="1">
        <f t="array" ref="G3">ObterGrafico("Produtos","ClienteId","Preço","sum","VARIAÇÃO DE PREÇOS","Preço","ClienteId",A3)</f>
        <v>{"ChartTitle":"VARIAÇÃO DE PREÇOS","ItemTitle":"Preço","Items":[{"title":"200,00","value":200,"label":"200.00"}]}</v>
      </c>
      <c r="H3" s="13" t="s">
        <v>31</v>
      </c>
    </row>
  </sheetData>
  <hyperlinks>
    <hyperlink ref="H3" r:id="rId1" display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xr:uid="{91FACAC5-8A57-4D80-BC96-30156969C2DE}"/>
    <hyperlink ref="H2" r:id="rId2" display=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 xr:uid="{E68E2E96-0208-4744-AB01-8B575EB46710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24</v>
      </c>
    </row>
    <row r="2" spans="1:7" ht="28.8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1">
        <v>2</v>
      </c>
      <c r="G2" s="5" t="str" cm="1">
        <f t="array" ref="G2">ObterRegistro("Categorias","CategoriaId",C2)</f>
        <v>{"CategoriaId": {"Kind": "number", "Value": 1},"Nome": {"Kind": "text", "Value": "Eletrônico"}}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1">
        <v>1</v>
      </c>
      <c r="G3" s="5" t="str" cm="1">
        <f t="array" ref="G3">ObterRegistro("Categorias","CategoriaId",C3)</f>
        <v>{"CategoriaId": {"Kind": "number", "Value": 2},"Nome": {"Kind": "text", "Value": "Livros"}}</v>
      </c>
    </row>
    <row r="4" spans="1:7" ht="28.8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1">
        <v>3</v>
      </c>
      <c r="G4" s="5" t="str" cm="1">
        <f t="array" ref="G4">ObterRegistro("Categorias","CategoriaId",C4)</f>
        <v>{"CategoriaId": {"Kind": "number", "Value": 3},"Nome": {"Kind": "text",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C28" sqref="C28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952C-69D6-4BEC-9086-B62AAB53F097}">
  <sheetPr codeName="Planilha5"/>
  <dimension ref="A1:C3"/>
  <sheetViews>
    <sheetView workbookViewId="0">
      <selection activeCell="D6" sqref="D6"/>
    </sheetView>
  </sheetViews>
  <sheetFormatPr defaultRowHeight="14.4" x14ac:dyDescent="0.3"/>
  <cols>
    <col min="1" max="1" width="8.6640625" style="15" customWidth="1"/>
    <col min="2" max="2" width="9.5546875" style="16" bestFit="1" customWidth="1"/>
    <col min="3" max="3" width="14.6640625" style="17" bestFit="1" customWidth="1"/>
  </cols>
  <sheetData>
    <row r="1" spans="1:3" s="21" customFormat="1" x14ac:dyDescent="0.3">
      <c r="A1" s="18" t="s">
        <v>0</v>
      </c>
      <c r="B1" s="19" t="s">
        <v>34</v>
      </c>
      <c r="C1" s="20" t="s">
        <v>35</v>
      </c>
    </row>
    <row r="2" spans="1:3" x14ac:dyDescent="0.3">
      <c r="A2" s="15">
        <v>1</v>
      </c>
      <c r="B2" s="16">
        <v>150</v>
      </c>
      <c r="C2" s="17">
        <v>3</v>
      </c>
    </row>
    <row r="3" spans="1:3" x14ac:dyDescent="0.3">
      <c r="A3" s="15">
        <v>2</v>
      </c>
      <c r="B3" s="16">
        <v>200</v>
      </c>
      <c r="C3" s="17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56B48-EF09-445D-A54C-0C11E065EB33}">
  <sheetPr codeName="Planilha6"/>
  <dimension ref="A1:G3"/>
  <sheetViews>
    <sheetView tabSelected="1" workbookViewId="0">
      <selection activeCell="D17" sqref="D17"/>
    </sheetView>
  </sheetViews>
  <sheetFormatPr defaultRowHeight="14.4" x14ac:dyDescent="0.3"/>
  <cols>
    <col min="1" max="1" width="8.6640625" style="15" customWidth="1"/>
    <col min="2" max="2" width="9.5546875" style="16" bestFit="1" customWidth="1"/>
    <col min="3" max="3" width="15.109375" style="22" bestFit="1" customWidth="1"/>
    <col min="4" max="4" width="15" style="23" bestFit="1" customWidth="1"/>
    <col min="5" max="5" width="14.6640625" style="17" bestFit="1" customWidth="1"/>
    <col min="6" max="6" width="20.21875" style="22" bestFit="1" customWidth="1"/>
    <col min="7" max="7" width="20.109375" style="23" bestFit="1" customWidth="1"/>
  </cols>
  <sheetData>
    <row r="1" spans="1:7" s="21" customFormat="1" x14ac:dyDescent="0.3">
      <c r="A1" s="18" t="s">
        <v>0</v>
      </c>
      <c r="B1" s="19" t="s">
        <v>34</v>
      </c>
      <c r="C1" s="24" t="s">
        <v>36</v>
      </c>
      <c r="D1" s="25" t="s">
        <v>37</v>
      </c>
      <c r="E1" s="20" t="s">
        <v>35</v>
      </c>
      <c r="F1" s="24" t="s">
        <v>38</v>
      </c>
      <c r="G1" s="25" t="s">
        <v>39</v>
      </c>
    </row>
    <row r="2" spans="1:7" x14ac:dyDescent="0.3">
      <c r="A2" s="15">
        <v>1</v>
      </c>
      <c r="B2" s="16">
        <v>150</v>
      </c>
      <c r="C2" s="22">
        <v>150</v>
      </c>
      <c r="D2" s="23" t="s">
        <v>13</v>
      </c>
      <c r="E2" s="17">
        <v>3</v>
      </c>
      <c r="F2" s="22">
        <v>3</v>
      </c>
      <c r="G2" s="23" t="s">
        <v>14</v>
      </c>
    </row>
    <row r="3" spans="1:7" x14ac:dyDescent="0.3">
      <c r="A3" s="15">
        <v>2</v>
      </c>
      <c r="B3" s="16">
        <v>200</v>
      </c>
      <c r="C3" s="22">
        <v>200</v>
      </c>
      <c r="D3" s="23" t="s">
        <v>13</v>
      </c>
      <c r="E3" s="17">
        <v>3</v>
      </c>
      <c r="F3" s="22">
        <v>3</v>
      </c>
      <c r="G3" s="23" t="s">
        <v>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ROOT</vt:lpstr>
      <vt:lpstr>Clientes</vt:lpstr>
      <vt:lpstr>Produtos</vt:lpstr>
      <vt:lpstr>Categorias</vt:lpstr>
      <vt:lpstr>TotaisProdutos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2026-06-07T21:07:03Z</dcterms:modified>
</cp:coreProperties>
</file>