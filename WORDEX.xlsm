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583F9D24-2A19-4BB0-90DE-0134AA67DBD7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2" l="1" a="1"/>
  <c r="D2" i="2" a="1"/>
  <c r="G3" i="4" a="1"/>
  <c r="G2" i="4" a="1"/>
  <c r="F3" i="4" a="1"/>
  <c r="F2" i="4" a="1"/>
  <c r="E3" i="4" a="1"/>
  <c r="E2" i="4" a="1"/>
  <c r="C2" i="2" a="1"/>
  <c r="G4" i="6" a="1"/>
  <c r="G3" i="6" a="1"/>
  <c r="G2" i="6" a="1"/>
  <c r="E2" i="2" l="1"/>
  <c r="D2" i="2"/>
  <c r="G3" i="4"/>
  <c r="G2" i="4"/>
  <c r="F3" i="4"/>
  <c r="F2" i="4"/>
  <c r="E3" i="4"/>
  <c r="E2" i="4"/>
  <c r="G2" i="6"/>
  <c r="G3" i="6"/>
  <c r="G4" i="6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<sst xmlns="http://schemas.openxmlformats.org/spreadsheetml/2006/main" count="49" uniqueCount="39">
  <si>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</si>
  <si>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</si>
  <si>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</si>
  <si>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</si>
  <si>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</si>
  <si>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</si>
  <si>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</si>
  <si>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</si>
  <si>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</si>
  <si>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</si>
  <si>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</si>
  <si>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</si>
  <si>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</si>
  <si>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</si>
  <si>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</si>
  <si>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</si>
  <si>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</si>
  <si>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</si>
  <si>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</si>
  <si>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</si>
  <si>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</si>
  <si>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</si>
  <si>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</si>
  <si>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</si>
  <si>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</si>
  <si>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</si>
  <si>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TotaisProdutos</t>
  </si>
  <si>
    <t>TotaisProdutosGerais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</si>
  <si>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</si>
  <si>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</si>
  <si>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</si>
  <si>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</si>
  <si>
    <t>https://deaautomacao.com.br/wp-content/uploads/2018/09/evadin.png</t>
  </si>
  <si>
    <t>GraficoProdutos</t>
  </si>
  <si>
    <t>PreçoSum</t>
  </si>
  <si>
    <t>QuantidadeSum</t>
  </si>
  <si>
    <t>ClienteIdSum</t>
  </si>
  <si>
    <t>ClienteIdSum_Value</t>
  </si>
  <si>
    <t>ClienteIdSum_Label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</si>
</sst>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4" fillId="0" borderId="0" xfId="1" applyAlignment="1">
      <alignment vertical="center" wrapText="1"/>
    </xf>
    <xf numFmtId="0" fontId="4" fillId="0" borderId="0" xfId="1" applyAlignment="1">
      <alignment vertical="center"/>
    </xf>
    <xf numFmtId="0" fontId="0" fillId="0" borderId="0" xfId="0" applyNumberFormat="1" applyFont="1" applyAlignment="1"/>
    <xf numFmtId="4" fontId="0" fillId="0" borderId="0" xfId="0" applyNumberFormat="1" applyFont="1" applyAlignment="1"/>
    <xf numFmtId="3" fontId="0" fillId="0" borderId="0" xfId="0" applyNumberFormat="1" applyFont="1" applyAlignment="1"/>
    <xf numFmtId="0" fontId="1" fillId="0" borderId="0" xfId="0" applyNumberFormat="1" applyFont="1" applyAlignment="1"/>
    <xf numFmtId="4" fontId="1" fillId="0" borderId="0" xfId="0" applyNumberFormat="1" applyFont="1" applyAlignment="1"/>
    <xf numFmtId="3" fontId="1" fillId="0" borderId="0" xfId="0" applyNumberFormat="1" applyFont="1" applyAlignment="1"/>
    <xf numFmtId="0" fontId="1" fillId="0" borderId="0" xfId="0" applyFont="1"/>
    <xf numFmtId="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0" fontId="1" fillId="0" borderId="0" xfId="0" applyNumberFormat="1" applyFont="1" applyAlignment="1">
      <alignment horizontal="right" vertical="center"/>
    </xf>
    <xf numFmtId="49" fontId="1" fillId="0" borderId="0" xfId="0" applyNumberFormat="1" applyFont="1" applyAlignment="1">
      <alignment horizontal="left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aautomacao.com.br/wp-content/uploads/2018/09/evadin.p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TargetMode="External"/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6"/>
  <sheetViews>
    <sheetView tabSelected="1" topLeftCell="A2" workbookViewId="0">
      <selection activeCell="E3" sqref="E3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6" width="67" style="8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25</v>
      </c>
      <c r="D1" s="6" t="s">
        <v>27</v>
      </c>
      <c r="E1" s="6" t="s">
        <v>28</v>
      </c>
      <c r="F1" s="6" t="s">
        <v>29</v>
      </c>
    </row>
    <row r="2" spans="1:6" ht="409.6" x14ac:dyDescent="0.3">
      <c r="A2" s="8" t="s">
        <v>3</v>
      </c>
      <c r="B2" s="8" t="s">
        <v>4</v>
      </c>
      <c r="C2" s="9" t="str" cm="1">
        <f t="array" ref="C2">ObterRegistros("Clientes")</f>
        <v>[{"ClienteId": {"Kind": "text", "Value": "1"},"Nome": {"Kind": "text", "Value": "João Silva"},"Email": {"Kind": "text", "Value": "joaosilva@gmail.com"},"Telefone": {"Kind": "text", "Value": "(11) 98765-4321"},"Produtos": {"Kind": "collection", "Items": 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"Livros"}}}]},"TotaisProdutos": {"Kind": "total", "Items": [{"ClienteId": {"Kind": "text", "Value": "1"},"PreçoSum": {"Kind": "text", "Value": "150,00"},"QuantidadeSum": {"Kind": "text", "Value": "3"}}]},"GraficoProdutos": 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"Livros"}}}],"LogoTipo": {"Kind": "image", "Value":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},{"ClienteId": {"Kind": "text", "Value": "2"},"Nome": {"Kind": "text", "Value": "Maria Oliveira"},"Email": {"Kind": "text", "Value": "mariaoliveira@gmail.com"},"Telefone": {"Kind": "text", "Value": "(21) 91234-5678"},"Produtos": {"Kind": "collection", "Items": 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"Escritório"}}}]},"TotaisProdutos": {"Kind": "total", "Items": [{"ClienteId": {"Kind": "text", "Value": "2"},"PreçoSum": {"Kind": "text", "Value": "200,00"},"QuantidadeSum": {"Kind": "text", "Value": "3"}}]},"GraficoProdutos": 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"Escritório"}}}],"LogoTipo": {"Kind": "image", "Value":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}]</v>
      </c>
      <c r="D2" s="9" t="str" cm="1">
        <f t="array" ref="D2">ObterRegistros("TotaisProdutosGerais")</f>
        <v>[{"PreçoSum": {"Kind": "text", "Value": "350,00"},"QuantidadeSum": {"Kind": "text", "Value": "6"}}]</v>
      </c>
      <c r="E2" s="9" t="str" cm="1">
        <f t="array" ref="E2">ObterRegistro("TotaisProdutosGrafico")</f>
        <v>{"ClienteIdSum": {"Kind": "text", "Value": "4"},"ClienteIdSum_Value": {"Kind": "number", "Value": 4},"ClienteIdSum_Label": {"Kind": "text", "Value": "ClienteId"}}</v>
      </c>
      <c r="F2" s="14" t="s">
        <v>32</v>
      </c>
    </row>
    <row r="16" spans="1:6" ht="25.8" x14ac:dyDescent="0.3">
      <c r="A16" s="12"/>
    </row>
  </sheetData>
  <hyperlinks>
    <hyperlink ref="F2" r:id="rId1" xr:uid="{AD8F4B97-BCD0-471D-91E3-6308D92CD93F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3"/>
  <sheetViews>
    <sheetView workbookViewId="0">
      <selection activeCell="A3" sqref="A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42.5546875" style="8" customWidth="1"/>
    <col min="8" max="8" width="255.77734375" style="9" customWidth="1"/>
    <col min="9" max="16384" width="8.88671875" style="8"/>
  </cols>
  <sheetData>
    <row r="1" spans="1:8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26</v>
      </c>
      <c r="G1" s="6" t="s">
        <v>33</v>
      </c>
      <c r="H1" s="7" t="s">
        <v>29</v>
      </c>
    </row>
    <row r="2" spans="1:8" ht="115.2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</v>
      </c>
      <c r="F2" s="9" t="str" cm="1">
        <f t="array" ref="F2">ObterRegistros("TotaisProdutos","ClienteId",A2)</f>
        <v>[{"ClienteId": {"Kind": "text", "Value": "1"},"PreçoSum": {"Kind": "text", "Value": "150,00"},"QuantidadeSum": {"Kind": "text", "Value": "3"}}]</v>
      </c>
      <c r="G2" s="9" t="str" cm="1">
        <f t="array" ref="G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</v>
      </c>
      <c r="H2" s="13" t="s">
        <v>30</v>
      </c>
    </row>
    <row r="3" spans="1:8" ht="244.8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</v>
      </c>
      <c r="F3" s="9" t="str" cm="1">
        <f t="array" ref="F3">ObterRegistros("TotaisProdutos","ClienteId",A3)</f>
        <v>[{"ClienteId": {"Kind": "text", "Value": "2"},"PreçoSum": {"Kind": "text", "Value": "200,00"},"QuantidadeSum": {"Kind": "text", "Value": "3"}}]</v>
      </c>
      <c r="G3" s="9" t="str" cm="1">
        <f t="array" ref="G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</v>
      </c>
      <c r="H3" s="13" t="s">
        <v>31</v>
      </c>
    </row>
  </sheetData>
  <hyperlinks>
    <hyperlink ref="H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  <hyperlink ref="H2" r:id="rId2" display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xr:uid="{E68E2E96-0208-4744-AB01-8B575EB4671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5" sqref="G5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24</v>
      </c>
    </row>
    <row r="2" spans="1:7" ht="28.8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1">
        <v>2</v>
      </c>
      <c r="G2" s="5" t="str" cm="1">
        <f t="array" ref="G2">ObterRegistro("Categorias","CategoriaId",C2)</f>
        <v>{"CategoriaId": {"Kind": "text", "Value": "1"},"Nome": {"Kind": "text", "Value": "Eletrônico"}}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1">
        <v>1</v>
      </c>
      <c r="G3" s="5" t="str" cm="1">
        <f t="array" ref="G3">ObterRegistro("Categorias","CategoriaId",C3)</f>
        <v>{"CategoriaId": {"Kind": "text", "Value": "2"},"Nome": {"Kind": "text", "Value": "Livros"}}</v>
      </c>
    </row>
    <row r="4" spans="1:7" ht="28.8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1">
        <v>3</v>
      </c>
      <c r="G4" s="5" t="str" cm="1">
        <f t="array" ref="G4">ObterRegistro("Categorias","CategoriaId",C4)</f>
        <v>{"CategoriaId": {"Kind": "text", "Value": "3"},"Nome":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C28" sqref="C28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A8C1-EBC2-4D8D-A71C-CE897E041CF9}">
  <dimension ref="A1:C3"/>
  <sheetViews>
    <sheetView workbookViewId="0"/>
  </sheetViews>
  <sheetFormatPr defaultRowHeight="14.4" x14ac:dyDescent="0.3"/>
  <cols>
    <col min="1" max="1" width="8.6640625" style="15" customWidth="1"/>
    <col min="2" max="2" width="6.5546875" style="16" customWidth="1"/>
    <col min="3" max="3" width="10.6640625" style="17" customWidth="1"/>
  </cols>
  <sheetData>
    <row r="1" spans="1:3" s="21" customFormat="1" x14ac:dyDescent="0.3">
      <c r="A1" s="18" t="s">
        <v>0</v>
      </c>
      <c r="B1" s="19" t="s">
        <v>34</v>
      </c>
      <c r="C1" s="20" t="s">
        <v>35</v>
      </c>
    </row>
    <row r="2" spans="1:3" x14ac:dyDescent="0.3">
      <c r="A2" s="15">
        <v>1</v>
      </c>
      <c r="B2" s="16">
        <v>150</v>
      </c>
      <c r="C2" s="17">
        <v>3</v>
      </c>
    </row>
    <row r="3" spans="1:3" x14ac:dyDescent="0.3">
      <c r="A3" s="15">
        <v>2</v>
      </c>
      <c r="B3" s="16">
        <v>200</v>
      </c>
      <c r="C3" s="17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C6D20-5056-435D-AB56-3F18C1D63316}">
  <dimension ref="A1:B2"/>
  <sheetViews>
    <sheetView workbookViewId="0"/>
  </sheetViews>
  <sheetFormatPr defaultRowHeight="14.4" x14ac:dyDescent="0.3"/>
  <cols>
    <col min="1" max="1" width="6.5546875" style="16" customWidth="1"/>
    <col min="2" max="2" width="10.6640625" style="17" customWidth="1"/>
  </cols>
  <sheetData>
    <row r="1" spans="1:2" s="21" customFormat="1" x14ac:dyDescent="0.3">
      <c r="A1" s="19" t="s">
        <v>34</v>
      </c>
      <c r="B1" s="20" t="s">
        <v>35</v>
      </c>
    </row>
    <row r="2" spans="1:2" x14ac:dyDescent="0.3">
      <c r="A2" s="16">
        <v>350</v>
      </c>
      <c r="B2" s="17"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B5154-2630-4AA4-9209-1545661CA2D1}">
  <dimension ref="A1:C2"/>
  <sheetViews>
    <sheetView workbookViewId="0"/>
  </sheetViews>
  <sheetFormatPr defaultRowHeight="14.4" x14ac:dyDescent="0.3"/>
  <cols>
    <col min="1" max="1" width="8.6640625" style="15" customWidth="1"/>
    <col min="2" max="2" width="18.77734375" style="22" customWidth="1"/>
    <col min="3" max="3" width="22.77734375" style="23" customWidth="1"/>
  </cols>
  <sheetData>
    <row r="1" spans="1:3" s="21" customFormat="1" x14ac:dyDescent="0.3">
      <c r="A1" s="18" t="s">
        <v>36</v>
      </c>
      <c r="B1" s="24" t="s">
        <v>37</v>
      </c>
      <c r="C1" s="25" t="s">
        <v>38</v>
      </c>
    </row>
    <row r="2" spans="1:3" x14ac:dyDescent="0.3">
      <c r="A2" s="15">
        <v>4</v>
      </c>
      <c r="B2" s="22">
        <v>4</v>
      </c>
      <c r="C2" s="23" t="s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2026-06-09T09:51:13Z</dcterms:modified>
</cp:coreProperties>
</file>