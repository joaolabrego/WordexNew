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WordexNew\"/>
    </mc:Choice>
  </mc:AlternateContent>
  <xr:revisionPtr revIDLastSave="0" documentId="13_ncr:1_{FAF7E2D0-A216-4A11-943C-D5D6F1E35920}" xr6:coauthVersionLast="47" xr6:coauthVersionMax="47" xr10:uidLastSave="{00000000-0000-0000-0000-000000000000}"/>
  <bookViews>
    <workbookView xWindow="-108" yWindow="-108" windowWidth="23256" windowHeight="13176" activeTab="1" xr2:uid="{CF45524C-4F79-4E14-85FA-55B971EE0993}"/>
  </bookViews>
  <sheets>
    <sheet name="ROOT" sheetId="2" r:id="rId1"/>
    <sheet name="Clientes" sheetId="4" r:id="rId2"/>
    <sheet name="Produtos" sheetId="6" r:id="rId3"/>
    <sheet name="Categorias" sheetId="7" r:id="rId4"/>
    <sheet name="TotaisProdutos" sheetId="8" r:id="rId5"/>
    <sheet name="TotaisProdutosGerais" sheetId="9" r:id="rId6"/>
    <sheet name="TotaisProdutosGrafico" sheetId="10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G4" i="6" l="1" a="1"/>
  <c r="D2" i="2" a="1"/>
  <c r="E2" i="2" a="1"/>
  <c r="C2" i="2" a="1"/>
  <c r="F2" i="4" a="1"/>
  <c r="E3" i="4" a="1"/>
  <c r="G3" i="6" a="1"/>
  <c r="F3" i="4" a="1"/>
  <c r="G2" i="6" a="1"/>
  <c r="E2" i="4" a="1"/>
  <c r="E2" i="4" l="1"/>
  <c r="G2" i="6"/>
  <c r="F3" i="4"/>
  <c r="G3" i="6"/>
  <c r="E3" i="4"/>
  <c r="F2" i="4"/>
  <c r="C2" i="2"/>
  <c r="E2" i="2"/>
  <c r="D2" i="2"/>
  <c r="G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<sst xmlns="http://schemas.openxmlformats.org/spreadsheetml/2006/main" count="57" uniqueCount="44">
  <si>
    <t>ClienteId</t>
  </si>
  <si>
    <t>Nome</t>
  </si>
  <si>
    <t>CNPJ</t>
  </si>
  <si>
    <t>Evadin S/A</t>
  </si>
  <si>
    <t>12.345.678/0001-90</t>
  </si>
  <si>
    <t>Email</t>
  </si>
  <si>
    <t>Telefone</t>
  </si>
  <si>
    <t>João Silva</t>
  </si>
  <si>
    <t>Maria Oliveira</t>
  </si>
  <si>
    <t>joaosilva@gmail.com</t>
  </si>
  <si>
    <t>mariaoliveira@gmail.com</t>
  </si>
  <si>
    <t>(11) 98765-4321</t>
  </si>
  <si>
    <t>(21) 91234-5678</t>
  </si>
  <si>
    <t>Preço</t>
  </si>
  <si>
    <t>Quantidade</t>
  </si>
  <si>
    <t>CategoriaId</t>
  </si>
  <si>
    <t>Produto A</t>
  </si>
  <si>
    <t>Produto B</t>
  </si>
  <si>
    <t>Produto C</t>
  </si>
  <si>
    <t>Eletrônico</t>
  </si>
  <si>
    <t>Livros</t>
  </si>
  <si>
    <t>Escritório</t>
  </si>
  <si>
    <t>ProdutoId</t>
  </si>
  <si>
    <t>Produtos</t>
  </si>
  <si>
    <t>Categoria</t>
  </si>
  <si>
    <t>Clientes</t>
  </si>
  <si>
    <t>PreçoCount</t>
  </si>
  <si>
    <t>PreçoSum</t>
  </si>
  <si>
    <t>PreçoMin</t>
  </si>
  <si>
    <t>PreçoMax</t>
  </si>
  <si>
    <t>PreçoAvg</t>
  </si>
  <si>
    <t>QuantidadeCount</t>
  </si>
  <si>
    <t>QuantidadeSum</t>
  </si>
  <si>
    <t>QuantidadeMin</t>
  </si>
  <si>
    <t>QuantidadeMax</t>
  </si>
  <si>
    <t>QuantidadeAvg</t>
  </si>
  <si>
    <t>TotaisProdutos</t>
  </si>
  <si>
    <t>TotaisProdutosGerais</t>
  </si>
  <si>
    <t>PreçoSum_Value</t>
  </si>
  <si>
    <t>PreçoSum_Label</t>
  </si>
  <si>
    <t>TotaisProdutosGrafico</t>
  </si>
  <si>
    <t>LogoTipo</t>
  </si>
  <si>
    <t>https://www.google.com/imgres?q=evadin&amp;imgurl=https%3A%2F%2Fncdn0.infojobs.com.br%2Flogos%2FCompany_Evaluation%2F1514323.jpg&amp;imgrefurl=https%3A%2F%2Fwww.infojobs.com.br%2Favailacoes-evadin__-1514323.aspx&amp;docid=DTnAMBGDqd50VM&amp;tbnid=9DDgxEDzLwp6DM&amp;vet=12ahUKEwi31uCBpOyUAxXArpUCHdj0GfcQnPAOegQIJBAB..i&amp;w=224&amp;h=120&amp;hcb=2&amp;itg=1&amp;ved=2ahUKEwi31uCBpOyUAxXArpUCHdj0GfcQnPAOegQIJBAB</t>
  </si>
  <si>
    <t>https://www.google.com/imgres?q=daycoval&amp;imgurl=https%3A%2F%2Fwww.mobills.com.br%2Fblog%2Fwp-content%2Fuploads%2F2023%2F09%2FBanco-Daycoval-CNPJ.jpg&amp;imgrefurl=https%3A%2F%2Fwww.mobills.com.br%2Fblog%2Fbancos%2Fbanco-daycoval-cnpj%2F&amp;docid=sQj4jv5Ey-l9KM&amp;tbnid=4wuz4n5pJJYLFM&amp;vet=12ahUKEwiZhM7VpOyUAxW8ppUCHVjdPOUQnPAOegQIEhAB..i&amp;w=700&amp;h=440&amp;hcb=2&amp;ved=2ahUKEwiZhM7VpOyUAxW8ppUCHVjdPOUQnPAOegQIEh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</si>
</sst>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,###,###,##0"/>
    <numFmt numFmtId="165" formatCode="#,##0.0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0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5">
    <xf numFmtId="0" fontId="0" fillId="0" borderId="0" xfId="0"/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4" fontId="0" fillId="0" borderId="0" xfId="0" applyNumberFormat="1"/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4" fontId="0" fillId="0" borderId="0" xfId="0" applyNumberFormat="1" applyAlignment="1">
      <alignment horizontal="right" vertical="center"/>
    </xf>
    <xf numFmtId="0" fontId="1" fillId="0" borderId="0" xfId="0" applyFont="1"/>
    <xf numFmtId="164" fontId="1" fillId="0" borderId="0" xfId="0" applyNumberFormat="1" applyFont="1" applyAlignment="1">
      <alignment horizontal="right" vertical="center"/>
    </xf>
    <xf numFmtId="3" fontId="1" fillId="0" borderId="0" xfId="0" applyNumberFormat="1" applyFont="1" applyAlignment="1">
      <alignment horizontal="center"/>
    </xf>
    <xf numFmtId="3" fontId="0" fillId="0" borderId="0" xfId="0" applyNumberFormat="1"/>
    <xf numFmtId="165" fontId="0" fillId="0" borderId="0" xfId="0" applyNumberFormat="1"/>
    <xf numFmtId="4" fontId="1" fillId="0" borderId="0" xfId="0" applyNumberFormat="1" applyFont="1"/>
    <xf numFmtId="3" fontId="1" fillId="0" borderId="0" xfId="0" applyNumberFormat="1" applyFont="1"/>
    <xf numFmtId="165" fontId="1" fillId="0" borderId="0" xfId="0" applyNumberFormat="1" applyFont="1"/>
    <xf numFmtId="0" fontId="3" fillId="0" borderId="0" xfId="0" applyFont="1" applyAlignment="1">
      <alignment vertical="center"/>
    </xf>
    <xf numFmtId="49" fontId="0" fillId="0" borderId="0" xfId="0" applyNumberFormat="1" applyAlignment="1">
      <alignment horizontal="left" vertical="center"/>
    </xf>
    <xf numFmtId="49" fontId="1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4" fillId="0" borderId="0" xfId="1" applyAlignment="1">
      <alignment vertical="center" wrapText="1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937260</xdr:colOff>
          <xdr:row>2</xdr:row>
          <xdr:rowOff>99060</xdr:rowOff>
        </xdr:from>
        <xdr:to>
          <xdr:col>2</xdr:col>
          <xdr:colOff>2316480</xdr:colOff>
          <xdr:row>5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arquivo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2918460</xdr:colOff>
          <xdr:row>2</xdr:row>
          <xdr:rowOff>99060</xdr:rowOff>
        </xdr:from>
        <xdr:to>
          <xdr:col>2</xdr:col>
          <xdr:colOff>4137660</xdr:colOff>
          <xdr:row>5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Total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oogle.com/imgres?q=daycoval&amp;imgurl=https%3A%2F%2Fwww.mobills.com.br%2Fblog%2Fwp-content%2Fuploads%2F2023%2F09%2FBanco-Daycoval-CNPJ.jpg&amp;imgrefurl=https%3A%2F%2Fwww.mobills.com.br%2Fblog%2Fbancos%2Fbanco-daycoval-cnpj%2F&amp;docid=sQj4jv5Ey-l9KM&amp;tbnid=4wuz4n5pJJYLFM&amp;vet=12ahUKEwiZhM7VpOyUAxW8ppUCHVjdPOUQnPAOegQIEhAB..i&amp;w=700&amp;h=440&amp;hcb=2&amp;ved=2ahUKEwiZhM7VpOyUAxW8ppUCHVjdPOUQnPAOegQIEhA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B8C3-04B2-4CA8-B816-34B0B82B1AFC}">
  <sheetPr codeName="Planilha1"/>
  <dimension ref="A1:E16"/>
  <sheetViews>
    <sheetView workbookViewId="0">
      <selection activeCell="E2" sqref="E2"/>
    </sheetView>
  </sheetViews>
  <sheetFormatPr defaultColWidth="8.88671875" defaultRowHeight="14.4" x14ac:dyDescent="0.3"/>
  <cols>
    <col min="1" max="1" width="9.33203125" style="8" bestFit="1" customWidth="1"/>
    <col min="2" max="2" width="17.6640625" style="8" bestFit="1" customWidth="1"/>
    <col min="3" max="3" width="81.88671875" style="9" bestFit="1" customWidth="1"/>
    <col min="4" max="4" width="44.6640625" style="8" bestFit="1" customWidth="1"/>
    <col min="5" max="5" width="46.6640625" style="8" customWidth="1"/>
    <col min="6" max="16384" width="8.88671875" style="8"/>
  </cols>
  <sheetData>
    <row r="1" spans="1:5" s="6" customFormat="1" x14ac:dyDescent="0.3">
      <c r="A1" s="6" t="s">
        <v>1</v>
      </c>
      <c r="B1" s="6" t="s">
        <v>2</v>
      </c>
      <c r="C1" s="7" t="s">
        <v>25</v>
      </c>
      <c r="D1" s="6" t="s">
        <v>37</v>
      </c>
      <c r="E1" s="6" t="s">
        <v>40</v>
      </c>
    </row>
    <row r="2" spans="1:5" ht="158.4" x14ac:dyDescent="0.3">
      <c r="A2" s="8" t="s">
        <v>3</v>
      </c>
      <c r="B2" s="8" t="s">
        <v>4</v>
      </c>
      <c r="C2" s="9" t="str" cm="1">
        <f t="array" ref="C2">ObterRegistros("Clientes")</f>
        <v>[{"ClienteId": "1","Nome": "João Silva","Email": "joaosilva@gmail.com","Telefone": "(11) 98765-4321","Produtos": [{"ProdutoId": "1","ClienteId": "1","CategoriaId": "1","Nome": "Produto A","Preço": "100,00","Quantidade": "2","Categoria": {"CategoriaId": "1","Nome": "Eletrônico"}},{"ProdutoId": "2","ClienteId": "1","CategoriaId": "2","Nome": "Produto B","Preço": "50,00","Quantidade": "1","Categoria": {"CategoriaId": "2","Nome": "Livros"}}],"TotaisProdutos": [{"ClienteId": "1","PreçoSum": "150,00","QuantidadeSum": "3"},{"ClienteId": "2","PreçoSum": "200,00","QuantidadeSum": "3"}],"LogoTipo": "https://www.google.com/imgres?q=evadin&amp;imgurl=https%3A%2F%2Fncdn0.infojobs.com.br%2Flogos%2FCompany_Evaluation%2F1514323.jpg&amp;imgrefurl=https%3A%2F%2Fwww.infojobs.com.br%2Favailacoes-evadin__-1514323.aspx&amp;docid=DTnAMBGDqd50VM&amp;tbnid=9DDgxEDzLwp6DM&amp;vet=12ahUKEwi31uCBpOyUAxXArpUCHdj0GfcQnPAOegQIJBAB..i&amp;w=224&amp;h=120&amp;hcb=2&amp;itg=1&amp;ved=2ahUKEwi31uCBpOyUAxXArpUCHdj0GfcQnPAOegQIJBAB"},{"ClienteId": "2","Nome": "Maria Oliveira","Email": "mariaoliveira@gmail.com","Telefone": "(21) 91234-5678","Produtos": [{"ProdutoId": "3","ClienteId": "2","CategoriaId": "3","Nome": "Produto C","Preço": "200,00","Quantidade": "3","Categoria": {"CategoriaId": "3","Nome": "Escritório"}}],"TotaisProdutos": [{"ClienteId": "1","PreçoSum": "150,00","QuantidadeSum": "3"},{"ClienteId": "2","PreçoSum": "200,00","QuantidadeSum": "3"}],"LogoTipo": "https://www.google.com/imgres?q=daycoval&amp;imgurl=https%3A%2F%2Fwww.mobills.com.br%2Fblog%2Fwp-content%2Fuploads%2F2023%2F09%2FBanco-Daycoval-CNPJ.jpg&amp;imgrefurl=https%3A%2F%2Fwww.mobills.com.br%2Fblog%2Fbancos%2Fbanco-daycoval-cnpj%2F&amp;docid=sQj4jv5Ey-l9KM&amp;tbnid=4wuz4n5pJJYLFM&amp;vet=12ahUKEwiZhM7VpOyUAxW8ppUCHVjdPOUQnPAOegQIEhAB..i&amp;w=700&amp;h=440&amp;hcb=2&amp;ved=2ahUKEwiZhM7VpOyUAxW8ppUCHVjdPOUQnPAOegQIEhAB"}]</v>
      </c>
      <c r="D2" s="9" t="str" cm="1">
        <f t="array" ref="D2">ObterRegistro("TotaisProdutosGerais")</f>
        <v>{"PreçoCount": "3","PreçoSum": "350,00","PreçoMin": "50,00","PreçoMax": "200,00","PreçoAvg": "116,67","QuantidadeCount": "3","QuantidadeSum": "6","QuantidadeMin": "1","QuantidadeMax": "3","QuantidadeAvg": "2,0"}</v>
      </c>
      <c r="E2" s="9" t="str" cm="1">
        <f t="array" ref="E2">ObterRegistro("TotaisProdutosGrafico")</f>
        <v>{"CategoriaId": "1","PreçoSum": "100,00","PreçoSum_Value": 100.55,"PreçoSum_Label": "Preço"}</v>
      </c>
    </row>
    <row r="16" spans="1:5" ht="25.8" x14ac:dyDescent="0.3">
      <c r="A16" s="19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rarJson">
                <anchor moveWithCells="1" sizeWithCells="1">
                  <from>
                    <xdr:col>2</xdr:col>
                    <xdr:colOff>937260</xdr:colOff>
                    <xdr:row>2</xdr:row>
                    <xdr:rowOff>99060</xdr:rowOff>
                  </from>
                  <to>
                    <xdr:col>2</xdr:col>
                    <xdr:colOff>2316480</xdr:colOff>
                    <xdr:row>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brirFormularioTotais">
                <anchor moveWithCells="1" sizeWithCells="1">
                  <from>
                    <xdr:col>2</xdr:col>
                    <xdr:colOff>2918460</xdr:colOff>
                    <xdr:row>2</xdr:row>
                    <xdr:rowOff>99060</xdr:rowOff>
                  </from>
                  <to>
                    <xdr:col>2</xdr:col>
                    <xdr:colOff>4137660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AE8F5-6806-4B0B-9F66-72E5AD5CA56D}">
  <sheetPr codeName="Planilha2"/>
  <dimension ref="A1:G3"/>
  <sheetViews>
    <sheetView tabSelected="1" workbookViewId="0">
      <selection activeCell="A8" sqref="A8"/>
    </sheetView>
  </sheetViews>
  <sheetFormatPr defaultColWidth="8.88671875" defaultRowHeight="14.4" x14ac:dyDescent="0.3"/>
  <cols>
    <col min="1" max="1" width="8.6640625" style="8" bestFit="1" customWidth="1"/>
    <col min="2" max="2" width="12" style="8" bestFit="1" customWidth="1"/>
    <col min="3" max="3" width="21.88671875" style="8" bestFit="1" customWidth="1"/>
    <col min="4" max="4" width="14.33203125" style="8" bestFit="1" customWidth="1"/>
    <col min="5" max="5" width="78" style="9" bestFit="1" customWidth="1"/>
    <col min="6" max="6" width="42.5546875" style="8" bestFit="1" customWidth="1"/>
    <col min="7" max="7" width="255.77734375" style="9" customWidth="1"/>
    <col min="8" max="16384" width="8.88671875" style="8"/>
  </cols>
  <sheetData>
    <row r="1" spans="1:7" s="6" customFormat="1" x14ac:dyDescent="0.3">
      <c r="A1" s="6" t="s">
        <v>0</v>
      </c>
      <c r="B1" s="6" t="s">
        <v>1</v>
      </c>
      <c r="C1" s="6" t="s">
        <v>5</v>
      </c>
      <c r="D1" s="6" t="s">
        <v>6</v>
      </c>
      <c r="E1" s="7" t="s">
        <v>23</v>
      </c>
      <c r="F1" s="6" t="s">
        <v>36</v>
      </c>
      <c r="G1" s="7" t="s">
        <v>41</v>
      </c>
    </row>
    <row r="2" spans="1:7" ht="57.6" x14ac:dyDescent="0.3">
      <c r="A2" s="8">
        <v>1</v>
      </c>
      <c r="B2" s="8" t="s">
        <v>7</v>
      </c>
      <c r="C2" s="8" t="s">
        <v>9</v>
      </c>
      <c r="D2" s="8" t="s">
        <v>11</v>
      </c>
      <c r="E2" s="9" t="str" cm="1">
        <f t="array" ref="E2">ObterRegistros("Produtos","ClienteId",A2)</f>
        <v>[{"ProdutoId": "1","ClienteId": "1","CategoriaId": "1","Nome": "Produto A","Preço": "100,00","Quantidade": "2","Categoria": {"CategoriaId": "1","Nome": "Eletrônico"}},{"ProdutoId": "2","ClienteId": "1","CategoriaId": "2","Nome": "Produto B","Preço": "50,00","Quantidade": "1","Categoria": {"CategoriaId": "2","Nome": "Livros"}}]</v>
      </c>
      <c r="F2" s="9" t="str" cm="1">
        <f t="array" ref="F2">ObterRegistros("TotaisProdutos")</f>
        <v>[{"ClienteId": "1","PreçoSum": "150,00","QuantidadeSum": "3"},{"ClienteId": "2","PreçoSum": "200,00","QuantidadeSum": "3"}]</v>
      </c>
      <c r="G2" s="9" t="s">
        <v>42</v>
      </c>
    </row>
    <row r="3" spans="1:7" ht="43.2" x14ac:dyDescent="0.3">
      <c r="A3" s="8">
        <v>2</v>
      </c>
      <c r="B3" s="8" t="s">
        <v>8</v>
      </c>
      <c r="C3" s="8" t="s">
        <v>10</v>
      </c>
      <c r="D3" s="8" t="s">
        <v>12</v>
      </c>
      <c r="E3" s="9" t="str" cm="1">
        <f t="array" ref="E3">ObterRegistros("Produtos","ClienteId",A3)</f>
        <v>[{"ProdutoId": "3","ClienteId": "2","CategoriaId": "3","Nome": "Produto C","Preço": "200,00","Quantidade": "3","Categoria": {"CategoriaId": "3","Nome": "Escritório"}}]</v>
      </c>
      <c r="F3" s="9" t="str" cm="1">
        <f t="array" ref="F3">ObterRegistros("TotaisProdutos")</f>
        <v>[{"ClienteId": "1","PreçoSum": "150,00","QuantidadeSum": "3"},{"ClienteId": "2","PreçoSum": "200,00","QuantidadeSum": "3"}]</v>
      </c>
      <c r="G3" s="24" t="s">
        <v>43</v>
      </c>
    </row>
  </sheetData>
  <hyperlinks>
    <hyperlink ref="G3" r:id="rId1" display="https://www.google.com/imgres?q=daycoval&amp;imgurl=https%3A%2F%2Fwww.mobills.com.br%2Fblog%2Fwp-content%2Fuploads%2F2023%2F09%2FBanco-Daycoval-CNPJ.jpg&amp;imgrefurl=https%3A%2F%2Fwww.mobills.com.br%2Fblog%2Fbancos%2Fbanco-daycoval-cnpj%2F&amp;docid=sQj4jv5Ey-l9KM&amp;tbnid=4wuz4n5pJJYLFM&amp;vet=12ahUKEwiZhM7VpOyUAxW8ppUCHVjdPOUQnPAOegQIEhAB..i&amp;w=700&amp;h=440&amp;hcb=2&amp;ved=2ahUKEwiZhM7VpOyUAxW8ppUCHVjdPOUQnPAOegQIEhAB" xr:uid="{91FACAC5-8A57-4D80-BC96-30156969C2DE}"/>
  </hyperlink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EDF9B-5125-407B-9684-92476EC6108C}">
  <sheetPr codeName="Planilha3"/>
  <dimension ref="A1:G4"/>
  <sheetViews>
    <sheetView workbookViewId="0">
      <selection activeCell="G2" sqref="G2:G4"/>
    </sheetView>
  </sheetViews>
  <sheetFormatPr defaultRowHeight="14.4" x14ac:dyDescent="0.3"/>
  <cols>
    <col min="1" max="1" width="9.33203125" bestFit="1" customWidth="1"/>
    <col min="2" max="2" width="8.6640625" bestFit="1" customWidth="1"/>
    <col min="3" max="3" width="10.6640625" bestFit="1" customWidth="1"/>
    <col min="4" max="4" width="8.88671875" bestFit="1" customWidth="1"/>
    <col min="5" max="5" width="6.5546875" style="3" bestFit="1" customWidth="1"/>
    <col min="6" max="6" width="10.6640625" style="14" bestFit="1" customWidth="1"/>
    <col min="7" max="7" width="54.44140625" style="5" bestFit="1" customWidth="1"/>
  </cols>
  <sheetData>
    <row r="1" spans="1:7" s="1" customFormat="1" x14ac:dyDescent="0.3">
      <c r="A1" s="1" t="s">
        <v>22</v>
      </c>
      <c r="B1" s="1" t="s">
        <v>0</v>
      </c>
      <c r="C1" s="1" t="s">
        <v>15</v>
      </c>
      <c r="D1" s="1" t="s">
        <v>1</v>
      </c>
      <c r="E1" s="2" t="s">
        <v>13</v>
      </c>
      <c r="F1" s="13" t="s">
        <v>14</v>
      </c>
      <c r="G1" s="4" t="s">
        <v>24</v>
      </c>
    </row>
    <row r="2" spans="1:7" x14ac:dyDescent="0.3">
      <c r="A2">
        <v>1</v>
      </c>
      <c r="B2">
        <v>1</v>
      </c>
      <c r="C2">
        <v>1</v>
      </c>
      <c r="D2" t="s">
        <v>16</v>
      </c>
      <c r="E2" s="3">
        <v>100</v>
      </c>
      <c r="F2" s="14">
        <v>2</v>
      </c>
      <c r="G2" s="5" t="str" cm="1">
        <f t="array" ref="G2">ObterRegistro("Categorias","CategoriaId",C2)</f>
        <v>{"CategoriaId": "1","Nome": "Eletrônico"}</v>
      </c>
    </row>
    <row r="3" spans="1:7" x14ac:dyDescent="0.3">
      <c r="A3">
        <v>2</v>
      </c>
      <c r="B3">
        <v>1</v>
      </c>
      <c r="C3">
        <v>2</v>
      </c>
      <c r="D3" t="s">
        <v>17</v>
      </c>
      <c r="E3" s="3">
        <v>50</v>
      </c>
      <c r="F3" s="14">
        <v>1</v>
      </c>
      <c r="G3" s="5" t="str" cm="1">
        <f t="array" ref="G3">ObterRegistro("Categorias","CategoriaId",C3)</f>
        <v>{"CategoriaId": "2","Nome": "Livros"}</v>
      </c>
    </row>
    <row r="4" spans="1:7" x14ac:dyDescent="0.3">
      <c r="A4">
        <v>3</v>
      </c>
      <c r="B4">
        <v>2</v>
      </c>
      <c r="C4">
        <v>3</v>
      </c>
      <c r="D4" t="s">
        <v>18</v>
      </c>
      <c r="E4" s="3">
        <v>200</v>
      </c>
      <c r="F4" s="14">
        <v>3</v>
      </c>
      <c r="G4" s="5" t="str" cm="1">
        <f t="array" ref="G4">ObterRegistro("Categorias","CategoriaId",C4)</f>
        <v>{"CategoriaId": "3","Nome": "Escritório"}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6676-BDD7-4AE3-8872-455C087A66C2}">
  <sheetPr codeName="Planilha4"/>
  <dimension ref="A1:B4"/>
  <sheetViews>
    <sheetView workbookViewId="0">
      <selection activeCell="A2" sqref="A2"/>
    </sheetView>
  </sheetViews>
  <sheetFormatPr defaultRowHeight="14.4" x14ac:dyDescent="0.3"/>
  <cols>
    <col min="1" max="1" width="10.6640625" bestFit="1" customWidth="1"/>
    <col min="2" max="2" width="9.109375" bestFit="1" customWidth="1"/>
  </cols>
  <sheetData>
    <row r="1" spans="1:2" s="1" customFormat="1" x14ac:dyDescent="0.3">
      <c r="A1" s="1" t="s">
        <v>15</v>
      </c>
      <c r="B1" s="1" t="s">
        <v>1</v>
      </c>
    </row>
    <row r="2" spans="1:2" x14ac:dyDescent="0.3">
      <c r="A2">
        <v>1</v>
      </c>
      <c r="B2" t="s">
        <v>19</v>
      </c>
    </row>
    <row r="3" spans="1:2" x14ac:dyDescent="0.3">
      <c r="A3">
        <v>2</v>
      </c>
      <c r="B3" t="s">
        <v>20</v>
      </c>
    </row>
    <row r="4" spans="1:2" x14ac:dyDescent="0.3">
      <c r="A4">
        <v>3</v>
      </c>
      <c r="B4" t="s">
        <v>21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13A89-73D3-4F4D-9F27-09CA03910E5D}">
  <sheetPr codeName="Planilha5"/>
  <dimension ref="A1:C3"/>
  <sheetViews>
    <sheetView workbookViewId="0">
      <selection activeCell="E13" sqref="E13"/>
    </sheetView>
  </sheetViews>
  <sheetFormatPr defaultRowHeight="14.4" x14ac:dyDescent="0.3"/>
  <cols>
    <col min="1" max="1" width="8.6640625" customWidth="1"/>
    <col min="2" max="2" width="9.5546875" style="3" bestFit="1" customWidth="1"/>
    <col min="3" max="3" width="14.6640625" style="14" bestFit="1" customWidth="1"/>
    <col min="4" max="6" width="6.5546875" customWidth="1"/>
    <col min="7" max="7" width="16.6640625" customWidth="1"/>
    <col min="8" max="11" width="10.6640625" customWidth="1"/>
    <col min="12" max="12" width="8.6640625" bestFit="1" customWidth="1"/>
    <col min="13" max="13" width="15.6640625" bestFit="1" customWidth="1"/>
    <col min="14" max="14" width="14.6640625" bestFit="1" customWidth="1"/>
    <col min="15" max="15" width="13.88671875" bestFit="1" customWidth="1"/>
    <col min="16" max="16" width="14.33203125" bestFit="1" customWidth="1"/>
    <col min="17" max="17" width="13.6640625" bestFit="1" customWidth="1"/>
  </cols>
  <sheetData>
    <row r="1" spans="1:3" s="11" customFormat="1" x14ac:dyDescent="0.3">
      <c r="A1" s="11" t="s">
        <v>0</v>
      </c>
      <c r="B1" s="16" t="s">
        <v>27</v>
      </c>
      <c r="C1" s="17" t="s">
        <v>32</v>
      </c>
    </row>
    <row r="2" spans="1:3" x14ac:dyDescent="0.3">
      <c r="A2">
        <v>1</v>
      </c>
      <c r="B2" s="3">
        <v>150</v>
      </c>
      <c r="C2" s="14">
        <v>3</v>
      </c>
    </row>
    <row r="3" spans="1:3" x14ac:dyDescent="0.3">
      <c r="A3">
        <v>2</v>
      </c>
      <c r="B3" s="3">
        <v>200</v>
      </c>
      <c r="C3" s="14">
        <v>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F9C09-9127-4CF1-9597-FAE400013585}">
  <sheetPr codeName="Planilha6"/>
  <dimension ref="A1:J2"/>
  <sheetViews>
    <sheetView workbookViewId="0">
      <selection activeCell="F8" sqref="F8"/>
    </sheetView>
  </sheetViews>
  <sheetFormatPr defaultRowHeight="14.4" x14ac:dyDescent="0.3"/>
  <cols>
    <col min="1" max="1" width="10.6640625" style="10" bestFit="1" customWidth="1"/>
    <col min="2" max="2" width="9.5546875" style="3" bestFit="1" customWidth="1"/>
    <col min="3" max="3" width="8.6640625" style="3" bestFit="1" customWidth="1"/>
    <col min="4" max="4" width="9.109375" style="3" bestFit="1" customWidth="1"/>
    <col min="5" max="5" width="8.6640625" style="3" bestFit="1" customWidth="1"/>
    <col min="6" max="6" width="15.6640625" style="10" bestFit="1" customWidth="1"/>
    <col min="7" max="7" width="14.6640625" style="14" bestFit="1" customWidth="1"/>
    <col min="8" max="8" width="13.88671875" style="14" bestFit="1" customWidth="1"/>
    <col min="9" max="9" width="14.33203125" style="14" bestFit="1" customWidth="1"/>
    <col min="10" max="10" width="13.6640625" style="15" bestFit="1" customWidth="1"/>
  </cols>
  <sheetData>
    <row r="1" spans="1:10" s="11" customFormat="1" x14ac:dyDescent="0.3">
      <c r="A1" s="12" t="s">
        <v>26</v>
      </c>
      <c r="B1" s="16" t="s">
        <v>27</v>
      </c>
      <c r="C1" s="16" t="s">
        <v>28</v>
      </c>
      <c r="D1" s="16" t="s">
        <v>29</v>
      </c>
      <c r="E1" s="16" t="s">
        <v>30</v>
      </c>
      <c r="F1" s="12" t="s">
        <v>31</v>
      </c>
      <c r="G1" s="17" t="s">
        <v>32</v>
      </c>
      <c r="H1" s="17" t="s">
        <v>33</v>
      </c>
      <c r="I1" s="17" t="s">
        <v>34</v>
      </c>
      <c r="J1" s="18" t="s">
        <v>35</v>
      </c>
    </row>
    <row r="2" spans="1:10" x14ac:dyDescent="0.3">
      <c r="A2" s="10">
        <v>3</v>
      </c>
      <c r="B2" s="3">
        <v>350</v>
      </c>
      <c r="C2" s="3">
        <v>50</v>
      </c>
      <c r="D2" s="3">
        <v>200</v>
      </c>
      <c r="E2" s="3">
        <v>116.66666666666667</v>
      </c>
      <c r="F2" s="10">
        <v>3</v>
      </c>
      <c r="G2" s="14">
        <v>6</v>
      </c>
      <c r="H2" s="14">
        <v>1</v>
      </c>
      <c r="I2" s="14">
        <v>3</v>
      </c>
      <c r="J2" s="15">
        <v>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D1B22-31D1-4B58-9542-3DE6BAE3D6EC}">
  <sheetPr codeName="Planilha7"/>
  <dimension ref="A1:D4"/>
  <sheetViews>
    <sheetView workbookViewId="0">
      <selection activeCell="C2" sqref="C2"/>
    </sheetView>
  </sheetViews>
  <sheetFormatPr defaultColWidth="10.6640625" defaultRowHeight="14.4" x14ac:dyDescent="0.3"/>
  <cols>
    <col min="1" max="1" width="10.6640625" bestFit="1" customWidth="1"/>
    <col min="2" max="2" width="9.5546875" style="3" bestFit="1" customWidth="1"/>
    <col min="3" max="3" width="15.109375" style="22" bestFit="1" customWidth="1"/>
    <col min="4" max="4" width="15" style="20" bestFit="1" customWidth="1"/>
  </cols>
  <sheetData>
    <row r="1" spans="1:4" s="11" customFormat="1" x14ac:dyDescent="0.3">
      <c r="A1" s="11" t="s">
        <v>15</v>
      </c>
      <c r="B1" s="16" t="s">
        <v>27</v>
      </c>
      <c r="C1" s="23" t="s">
        <v>38</v>
      </c>
      <c r="D1" s="21" t="s">
        <v>39</v>
      </c>
    </row>
    <row r="2" spans="1:4" x14ac:dyDescent="0.3">
      <c r="A2">
        <v>1</v>
      </c>
      <c r="B2" s="3">
        <v>100</v>
      </c>
      <c r="C2" s="22">
        <v>100.55</v>
      </c>
      <c r="D2" s="20" t="s">
        <v>13</v>
      </c>
    </row>
    <row r="3" spans="1:4" x14ac:dyDescent="0.3">
      <c r="A3">
        <v>2</v>
      </c>
      <c r="B3" s="3">
        <v>50</v>
      </c>
      <c r="C3" s="22">
        <v>50</v>
      </c>
      <c r="D3" s="20" t="s">
        <v>13</v>
      </c>
    </row>
    <row r="4" spans="1:4" x14ac:dyDescent="0.3">
      <c r="A4">
        <v>3</v>
      </c>
      <c r="B4" s="3">
        <v>200</v>
      </c>
      <c r="C4" s="22">
        <v>200</v>
      </c>
      <c r="D4" s="20" t="s">
        <v>13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ROOT</vt:lpstr>
      <vt:lpstr>Clientes</vt:lpstr>
      <vt:lpstr>Produtos</vt:lpstr>
      <vt:lpstr>Categorias</vt:lpstr>
      <vt:lpstr>TotaisProdutos</vt:lpstr>
      <vt:lpstr>TotaisProdutosGerais</vt:lpstr>
      <vt:lpstr>TotaisProdutosGrafico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2026-05-23T22:48:04Z</dcterms:created>
  <dcterms:modified xsi:type="dcterms:W3CDTF">2026-06-04T00:10:22Z</dcterms:modified>
</cp:coreProperties>
</file>