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C1D79F3D-9D54-4B12-B01A-FA7A154BD812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3" i="4" l="1" a="1"/>
  <c r="G2" i="4" a="1"/>
  <c r="D2" i="2" a="1"/>
  <c r="E3" i="4" a="1"/>
  <c r="G2" i="6" a="1"/>
  <c r="G4" i="6" a="1"/>
  <c r="C2" i="2" a="1"/>
  <c r="E2" i="2" a="1"/>
  <c r="F2" i="4" a="1"/>
  <c r="E2" i="4" a="1"/>
  <c r="F3" i="4" a="1"/>
  <c r="G3" i="6" a="1"/>
  <c r="G3" i="6" l="1"/>
  <c r="F3" i="4"/>
  <c r="E2" i="4"/>
  <c r="F2" i="4"/>
  <c r="E2" i="2"/>
  <c r="C2" i="2"/>
  <c r="G4" i="6"/>
  <c r="G2" i="6"/>
  <c r="E3" i="4"/>
  <c r="D2" i="2"/>
  <c r="G2" i="4"/>
  <c r="G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<sst xmlns="http://schemas.openxmlformats.org/spreadsheetml/2006/main" count="40" uniqueCount="34">
  <si>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</si>
  <si>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</si>
  <si>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</si>
  <si>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</si>
  <si>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</si>
  <si>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</si>
  <si>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</si>
  <si>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</si>
  <si>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</si>
  <si>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</si>
  <si>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</si>
  <si>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</si>
  <si>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</si>
  <si>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</si>
  <si>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</si>
  <si>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</si>
  <si>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</si>
  <si>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</si>
  <si>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</si>
  <si>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</si>
  <si>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</si>
  <si>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</si>
  <si>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</si>
  <si>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</si>
  <si>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</si>
  <si>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</si>
  <si>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TotaisProdutos</t>
  </si>
  <si>
    <t>TotaisProdutosGerais</t>
  </si>
  <si>
    <t>TotaisProdutosGrafico</t>
  </si>
  <si>
    <t>LogoTipo</t>
  </si>
  <si>
    <t>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</t>
  </si>
  <si>
    <t>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</t>
  </si>
  <si>
    <t>https://deaautomacao.com.br/wp-content/uploads/2018/09/evadin.png</t>
  </si>
  <si>
    <t>GraficoProdutos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</si>
</sst>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4" fillId="0" borderId="0" xfId="1" applyAlignment="1">
      <alignment vertical="center" wrapText="1"/>
    </xf>
    <xf numFmtId="0" fontId="4" fillId="0" borderId="0" xfId="1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937260</xdr:colOff>
          <xdr:row>2</xdr:row>
          <xdr:rowOff>99060</xdr:rowOff>
        </xdr:from>
        <xdr:to>
          <xdr:col>2</xdr:col>
          <xdr:colOff>2316480</xdr:colOff>
          <xdr:row>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2918460</xdr:colOff>
          <xdr:row>2</xdr:row>
          <xdr:rowOff>99060</xdr:rowOff>
        </xdr:from>
        <xdr:to>
          <xdr:col>2</xdr:col>
          <xdr:colOff>4137660</xdr:colOff>
          <xdr:row>5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aautomacao.com.br/wp-content/uploads/2018/09/evadin.png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 TargetMode="External"/><Relationship Id="rId1" Type="http://schemas.openxmlformats.org/officeDocument/2006/relationships/hyperlink" Target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F16"/>
  <sheetViews>
    <sheetView tabSelected="1" topLeftCell="A2" workbookViewId="0">
      <selection activeCell="C13" sqref="C13"/>
    </sheetView>
  </sheetViews>
  <sheetFormatPr defaultColWidth="8.88671875" defaultRowHeight="14.4" x14ac:dyDescent="0.3"/>
  <cols>
    <col min="1" max="1" width="9.33203125" style="8" bestFit="1" customWidth="1"/>
    <col min="2" max="2" width="17.6640625" style="8" bestFit="1" customWidth="1"/>
    <col min="3" max="3" width="81.88671875" style="9" bestFit="1" customWidth="1"/>
    <col min="4" max="4" width="44.6640625" style="8" bestFit="1" customWidth="1"/>
    <col min="5" max="5" width="46.6640625" style="8" customWidth="1"/>
    <col min="6" max="6" width="67" style="8" customWidth="1"/>
    <col min="7" max="16384" width="8.88671875" style="8"/>
  </cols>
  <sheetData>
    <row r="1" spans="1:6" s="6" customFormat="1" x14ac:dyDescent="0.3">
      <c r="A1" s="6" t="s">
        <v>1</v>
      </c>
      <c r="B1" s="6" t="s">
        <v>2</v>
      </c>
      <c r="C1" s="7" t="s">
        <v>25</v>
      </c>
      <c r="D1" s="6" t="s">
        <v>27</v>
      </c>
      <c r="E1" s="6" t="s">
        <v>28</v>
      </c>
      <c r="F1" s="6" t="s">
        <v>29</v>
      </c>
    </row>
    <row r="2" spans="1:6" ht="345.6" x14ac:dyDescent="0.3">
      <c r="A2" s="8" t="s">
        <v>3</v>
      </c>
      <c r="B2" s="8" t="s">
        <v>4</v>
      </c>
      <c r="C2" s="9" t="str" cm="1">
        <f t="array" ref="C2">ObterRegistros("Clientes")</f>
        <v>[{"ClienteId": {"Kind": "number", "Value": 1},"Nome": {"Kind": "text", "Value": "João Silva"},"Email": {"Kind": "text", "Value": "joaosilva@gmail.com"},"Telefone": {"Kind": "text", "Value": "(11) 98765-4321"},"Produtos":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[{"Erro": "Subscrito fora do intervalo"}],"GraficoProdutos": {"ChartTitle":"VARIAÇÃO DE PREÇOS","ItemTitle":"Preço","Items":[{"title":"100,00","value":150,"label":"150.00"}]},"LogoTipo": {"Kind": "image", "Value": 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}},{"ClienteId": {"Kind": "number", "Value": 2},"Nome": {"Kind": "text", "Value": "Maria Oliveira"},"Email": {"Kind": "text", "Value": "mariaoliveira@gmail.com"},"Telefone": {"Kind": "text", "Value": "(21) 91234-5678"},"Produtos": [{"ProdutoId": {"Kind": "number", "Value": 3},"ClienteId": {"Kind": "number", "Value": 2},"CategoriaId": {"Kind": "number", "Value": 3},"Nome": {"Kind": "text", "Value": "Produto C"},"Preço": {"Kind": "number", "Value": 200},"Quantidade": {"Kind": "number", "Value": 3},"Categoria": {"CategoriaId": "3","Nome": "Escritório"}}],"TotaisProdutos": [{"Erro": "Subscrito fora do intervalo"}],"GraficoProdutos": {"ChartTitle":"VARIAÇÃO DE PREÇOS","ItemTitle":"Preço","Items":[{"title":"200,00","value":200,"label":"200.00"}]},"LogoTipo": {"Kind": "image", "Value": 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}}]</v>
      </c>
      <c r="D2" s="9" t="str" cm="1">
        <f t="array" ref="D2">ObterRegistro("TotaisProdutosGerais")</f>
        <v>{"Erro": "Subscrito fora do intervalo"}</v>
      </c>
      <c r="E2" s="9" t="str" cm="1">
        <f t="array" ref="E2">ObterRegistro("TotaisProdutosGrafico")</f>
        <v>{"Erro": "Subscrito fora do intervalo"}</v>
      </c>
      <c r="F2" s="14" t="s">
        <v>32</v>
      </c>
    </row>
    <row r="16" spans="1:6" ht="25.8" x14ac:dyDescent="0.3">
      <c r="A16" s="12"/>
    </row>
  </sheetData>
  <hyperlinks>
    <hyperlink ref="F2" r:id="rId1" xr:uid="{AD8F4B97-BCD0-471D-91E3-6308D92CD93F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937260</xdr:colOff>
                    <xdr:row>2</xdr:row>
                    <xdr:rowOff>99060</xdr:rowOff>
                  </from>
                  <to>
                    <xdr:col>2</xdr:col>
                    <xdr:colOff>2316480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2918460</xdr:colOff>
                    <xdr:row>2</xdr:row>
                    <xdr:rowOff>99060</xdr:rowOff>
                  </from>
                  <to>
                    <xdr:col>2</xdr:col>
                    <xdr:colOff>4137660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H3"/>
  <sheetViews>
    <sheetView workbookViewId="0">
      <selection activeCell="G7" sqref="G7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8" style="9" bestFit="1" customWidth="1"/>
    <col min="6" max="6" width="42.5546875" style="8" bestFit="1" customWidth="1"/>
    <col min="7" max="7" width="42.5546875" style="8" customWidth="1"/>
    <col min="8" max="8" width="255.77734375" style="9" customWidth="1"/>
    <col min="9" max="16384" width="8.88671875" style="8"/>
  </cols>
  <sheetData>
    <row r="1" spans="1:8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26</v>
      </c>
      <c r="G1" s="6" t="s">
        <v>33</v>
      </c>
      <c r="H1" s="7" t="s">
        <v>29</v>
      </c>
    </row>
    <row r="2" spans="1:8" ht="57.6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{"Kind": "number", "Value": 1},"ClienteId": {"Kind": "number", "Value": 1},"CategoriaId": {"Kind": "number", "Value": 1},"Nome": {"Kind": "text", "Value": "Produto A"},"Preço": {"Kind": "number", "Value": 100},"Quantidade": {"Kind": "number", "Value": 2},"Categoria": {"CategoriaId": {"Kind": "number", "Value": 1},"Nome": {"Kind": "text", "Value": "Eletrônico"}}},{"ProdutoId": {"Kind": "number", "Value": 2},"ClienteId": {"Kind": "number", "Value": 1},"CategoriaId": {"Kind": "number", "Value": 2},"Nome": {"Kind": "text", "Value": "Produto B"},"Preço": {"Kind": "number", "Value": 50},"Quantidade": {"Kind": "number", "Value": 1},"Categoria": {"CategoriaId": "2","Nome": "Livros"}}]</v>
      </c>
      <c r="F2" s="9" t="str" cm="1">
        <f t="array" ref="F2">ObterRegistros("TotaisProdutos")</f>
        <v>[{"Erro": "Subscrito fora do intervalo"}]</v>
      </c>
      <c r="G2" s="9" t="str" cm="1">
        <f t="array" ref="G2">ObterGrafico("Produtos","ClienteId","Preço","sum","VARIAÇÃO DE PREÇOS","Preço","ClienteId",A2)</f>
        <v>{"ChartTitle":"VARIAÇÃO DE PREÇOS","ItemTitle":"Preço","Items":[{"title":"100,00","value":150,"label":"150.00"}]}</v>
      </c>
      <c r="H2" s="13" t="s">
        <v>30</v>
      </c>
    </row>
    <row r="3" spans="1:8" ht="43.2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{"Kind": "number", "Value": 3},"ClienteId": {"Kind": "number", "Value": 2},"CategoriaId": {"Kind": "number", "Value": 3},"Nome": {"Kind": "text", "Value": "Produto C"},"Preço": {"Kind": "number", "Value": 200},"Quantidade": {"Kind": "number", "Value": 3},"Categoria": {"CategoriaId": "3","Nome": "Escritório"}}]</v>
      </c>
      <c r="F3" s="9" t="str" cm="1">
        <f t="array" ref="F3">ObterRegistros("TotaisProdutos")</f>
        <v>[{"Erro": "Subscrito fora do intervalo"}]</v>
      </c>
      <c r="G3" s="9" t="str" cm="1">
        <f t="array" ref="G3">ObterGrafico("Produtos","ClienteId","Preço","sum","VARIAÇÃO DE PREÇOS","Preço","ClienteId",A3)</f>
        <v>{"ChartTitle":"VARIAÇÃO DE PREÇOS","ItemTitle":"Preço","Items":[{"title":"200,00","value":200,"label":"200.00"}]}</v>
      </c>
      <c r="H3" s="13" t="s">
        <v>31</v>
      </c>
    </row>
  </sheetData>
  <hyperlinks>
    <hyperlink ref="H3" r:id="rId1" display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xr:uid="{91FACAC5-8A57-4D80-BC96-30156969C2DE}"/>
    <hyperlink ref="H2" r:id="rId2" display=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 xr:uid="{E68E2E96-0208-4744-AB01-8B575EB46710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2" sqref="G2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6640625" style="11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0" t="s">
        <v>14</v>
      </c>
      <c r="G1" s="4" t="s">
        <v>24</v>
      </c>
    </row>
    <row r="2" spans="1:7" ht="28.8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1">
        <v>2</v>
      </c>
      <c r="G2" s="5" t="str" cm="1">
        <f t="array" ref="G2">ObterRegistro("Categorias","CategoriaId",C2)</f>
        <v>{"CategoriaId": {"Kind": "number", "Value": 1},"Nome": {"Kind": "text", "Value": "Eletrônico"}}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1">
        <v>1</v>
      </c>
      <c r="G3" s="5" t="str" cm="1">
        <f t="array" ref="G3">ObterRegistro("Categorias","CategoriaId",C3)</f>
        <v>{"CategoriaId": {"Kind": "number", "Value": 2},"Nome": {"Kind": "text", "Value": "Livros"}}</v>
      </c>
    </row>
    <row r="4" spans="1:7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1">
        <v>3</v>
      </c>
      <c r="G4" s="5" t="str" cm="1">
        <f t="array" ref="G4">ObterRegistro("Categorias","CategoriaId",C4)</f>
        <v>{"CategoriaId": {"Kind": "number", "Value": 3},"Nome": {"Kind": "text",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C28" sqref="C28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2026-06-07T05:03:02Z</dcterms:modified>
</cp:coreProperties>
</file>